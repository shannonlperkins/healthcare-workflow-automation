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40072fdcb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f14ff7d89bcd4afa"/>
    <x:sheet xmlns:r="http://schemas.openxmlformats.org/officeDocument/2006/relationships" name="Model Inputs" sheetId="2" r:id="R11872c47d6484e71"/>
    <x:sheet xmlns:r="http://schemas.openxmlformats.org/officeDocument/2006/relationships" name="Sample Work Queue" sheetId="3" r:id="R75146c20aeea4310"/>
    <x:sheet xmlns:r="http://schemas.openxmlformats.org/officeDocument/2006/relationships" name="Weekly Summary" sheetId="4" r:id="R4e37aa47404749c8"/>
    <x:sheet xmlns:r="http://schemas.openxmlformats.org/officeDocument/2006/relationships" name="SLA Rules" sheetId="5" r:id="Re717a7e5a5af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%"/>
    <x:numFmt numFmtId="202" formatCode="0.0&quot; min&quot;"/>
    <x:numFmt numFmtId="203" formatCode="0"/>
    <x:numFmt numFmtId="204" formatCode="0.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0"/>
      <x:color rgb="FF1F2937"/>
      <x:name val="Carlito"/>
    </x:font>
    <x:font>
      <x:b/>
      <x:sz val="18"/>
      <x:color rgb="FF0F172A"/>
      <x:name val="Carlito"/>
    </x:font>
    <x:font>
      <x:sz val="10"/>
      <x:color rgb="FF1F2937"/>
      <x:name val="Carlito"/>
    </x:font>
    <x:font>
      <x:i/>
      <x:sz val="9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2">
    <x:border/>
    <x:border/>
    <x:border>
      <x:bottom style="thin">
        <x:color rgb="FFE2E8F0"/>
      </x:bottom>
    </x:border>
    <x:border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7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3" xfId="0" applyNumberFormat="1" applyFont="1" applyFill="1" applyBorder="1"/>
    <x:xf numFmtId="0" fontId="5" fillId="6" borderId="11" xfId="0" applyNumberFormat="1" applyFont="1" applyFill="1" applyBorder="1"/>
    <x:xf numFmtId="0" fontId="5" fillId="6" borderId="8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200" fontId="5" fillId="6" borderId="4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5" xfId="0" applyNumberFormat="1" applyFont="1" applyFill="1" applyBorder="1" applyAlignment="1">
      <x:alignment horizontal="center" vertical="center"/>
    </x:xf>
    <x:xf numFmtId="200" fontId="5" fillId="6" borderId="6" xfId="0" applyNumberFormat="1" applyFont="1" applyFill="1" applyBorder="1" applyAlignment="1">
      <x:alignment horizontal="center" vertical="center"/>
    </x:xf>
    <x:xf numFmtId="200" fontId="5" fillId="6" borderId="2" xfId="0" applyNumberFormat="1" applyFont="1" applyFill="1" applyBorder="1" applyAlignment="1">
      <x:alignment horizontal="center" vertical="center"/>
    </x:xf>
    <x:xf numFmtId="200" fontId="5" fillId="6" borderId="7" xfId="0" applyNumberFormat="1" applyFont="1" applyFill="1" applyBorder="1" applyAlignment="1">
      <x:alignment horizontal="center" vertical="center"/>
    </x:xf>
    <x:xf numFmtId="200" fontId="5" fillId="6" borderId="8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5" fillId="6" borderId="9" xfId="0" applyNumberFormat="1" applyFont="1" applyFill="1" applyBorder="1" applyAlignment="1">
      <x:alignment horizontal="center" vertical="center"/>
    </x:xf>
    <x:xf numFmtId="200" fontId="5" fillId="6" borderId="10" xfId="0" applyNumberFormat="1" applyFont="1" applyFill="1" applyBorder="1" applyAlignment="1">
      <x:alignment horizontal="center" vertical="center"/>
    </x:xf>
    <x:xf numFmtId="200" fontId="5" fillId="6" borderId="3" xfId="0" applyNumberFormat="1" applyFont="1" applyFill="1" applyBorder="1" applyAlignment="1">
      <x:alignment horizontal="center" vertical="center"/>
    </x:xf>
    <x:xf numFmtId="200" fontId="5" fillId="6" borderId="11" xfId="0" applyNumberFormat="1" applyFont="1" applyFill="1" applyBorder="1" applyAlignment="1">
      <x:alignment horizontal="center" vertical="center"/>
    </x:xf>
    <x:xf numFmtId="202" fontId="5" fillId="6" borderId="4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5" xfId="0" applyNumberFormat="1" applyFont="1" applyFill="1" applyBorder="1" applyAlignment="1">
      <x:alignment horizontal="center" vertical="center"/>
    </x:xf>
    <x:xf numFmtId="202" fontId="5" fillId="6" borderId="6" xfId="0" applyNumberFormat="1" applyFont="1" applyFill="1" applyBorder="1" applyAlignment="1">
      <x:alignment horizontal="center" vertical="center"/>
    </x:xf>
    <x:xf numFmtId="202" fontId="5" fillId="6" borderId="2" xfId="0" applyNumberFormat="1" applyFont="1" applyFill="1" applyBorder="1" applyAlignment="1">
      <x:alignment horizontal="center" vertical="center"/>
    </x:xf>
    <x:xf numFmtId="202" fontId="5" fillId="6" borderId="7" xfId="0" applyNumberFormat="1" applyFont="1" applyFill="1" applyBorder="1" applyAlignment="1">
      <x:alignment horizontal="center" vertical="center"/>
    </x:xf>
    <x:xf numFmtId="202" fontId="5" fillId="6" borderId="8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202" fontId="5" fillId="6" borderId="9" xfId="0" applyNumberFormat="1" applyFont="1" applyFill="1" applyBorder="1" applyAlignment="1">
      <x:alignment horizontal="center" vertical="center"/>
    </x:xf>
    <x:xf numFmtId="202" fontId="5" fillId="6" borderId="10" xfId="0" applyNumberFormat="1" applyFont="1" applyFill="1" applyBorder="1" applyAlignment="1">
      <x:alignment horizontal="center" vertical="center"/>
    </x:xf>
    <x:xf numFmtId="202" fontId="5" fillId="6" borderId="3" xfId="0" applyNumberFormat="1" applyFont="1" applyFill="1" applyBorder="1" applyAlignment="1">
      <x:alignment horizontal="center" vertical="center"/>
    </x:xf>
    <x:xf numFmtId="202" fontId="5" fillId="6" borderId="11" xfId="0" applyNumberFormat="1" applyFont="1" applyFill="1" applyBorder="1" applyAlignment="1">
      <x:alignment horizontal="center" vertical="center"/>
    </x:xf>
    <x:xf numFmtId="203" fontId="5" fillId="6" borderId="4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5" xfId="0" applyNumberFormat="1" applyFont="1" applyFill="1" applyBorder="1" applyAlignment="1">
      <x:alignment horizontal="center" vertical="center"/>
    </x:xf>
    <x:xf numFmtId="203" fontId="5" fillId="6" borderId="6" xfId="0" applyNumberFormat="1" applyFont="1" applyFill="1" applyBorder="1" applyAlignment="1">
      <x:alignment horizontal="center" vertical="center"/>
    </x:xf>
    <x:xf numFmtId="203" fontId="5" fillId="6" borderId="2" xfId="0" applyNumberFormat="1" applyFont="1" applyFill="1" applyBorder="1" applyAlignment="1">
      <x:alignment horizontal="center" vertical="center"/>
    </x:xf>
    <x:xf numFmtId="203" fontId="5" fillId="6" borderId="7" xfId="0" applyNumberFormat="1" applyFont="1" applyFill="1" applyBorder="1" applyAlignment="1">
      <x:alignment horizontal="center" vertical="center"/>
    </x:xf>
    <x:xf numFmtId="203" fontId="5" fillId="6" borderId="8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203" fontId="5" fillId="6" borderId="9" xfId="0" applyNumberFormat="1" applyFont="1" applyFill="1" applyBorder="1" applyAlignment="1">
      <x:alignment horizontal="center" vertical="center"/>
    </x:xf>
    <x:xf numFmtId="203" fontId="5" fillId="6" borderId="10" xfId="0" applyNumberFormat="1" applyFont="1" applyFill="1" applyBorder="1" applyAlignment="1">
      <x:alignment horizontal="center" vertical="center"/>
    </x:xf>
    <x:xf numFmtId="203" fontId="5" fillId="6" borderId="3" xfId="0" applyNumberFormat="1" applyFont="1" applyFill="1" applyBorder="1" applyAlignment="1">
      <x:alignment horizontal="center" vertical="center"/>
    </x:xf>
    <x:xf numFmtId="203" fontId="5" fillId="6" borderId="11" xfId="0" applyNumberFormat="1" applyFont="1" applyFill="1" applyBorder="1" applyAlignment="1">
      <x:alignment horizontal="center" vertical="center"/>
    </x:xf>
    <x:xf numFmtId="204" fontId="5" fillId="6" borderId="4" xfId="0" applyNumberFormat="1" applyFont="1" applyFill="1" applyBorder="1" applyAlignment="1">
      <x:alignment horizontal="center" vertical="center"/>
    </x:xf>
    <x:xf numFmtId="204" fontId="5" fillId="6" borderId="0" xfId="0" applyNumberFormat="1" applyFont="1" applyFill="1" applyBorder="1" applyAlignment="1">
      <x:alignment horizontal="center" vertical="center"/>
    </x:xf>
    <x:xf numFmtId="204" fontId="5" fillId="6" borderId="5" xfId="0" applyNumberFormat="1" applyFont="1" applyFill="1" applyBorder="1" applyAlignment="1">
      <x:alignment horizontal="center" vertical="center"/>
    </x:xf>
    <x:xf numFmtId="204" fontId="5" fillId="6" borderId="6" xfId="0" applyNumberFormat="1" applyFont="1" applyFill="1" applyBorder="1" applyAlignment="1">
      <x:alignment horizontal="center" vertical="center"/>
    </x:xf>
    <x:xf numFmtId="204" fontId="5" fillId="6" borderId="2" xfId="0" applyNumberFormat="1" applyFont="1" applyFill="1" applyBorder="1" applyAlignment="1">
      <x:alignment horizontal="center" vertical="center"/>
    </x:xf>
    <x:xf numFmtId="204" fontId="5" fillId="6" borderId="7" xfId="0" applyNumberFormat="1" applyFont="1" applyFill="1" applyBorder="1" applyAlignment="1">
      <x:alignment horizontal="center" vertical="center"/>
    </x:xf>
    <x:xf numFmtId="204" fontId="5" fillId="6" borderId="8" xfId="0" applyNumberFormat="1" applyFont="1" applyFill="1" applyBorder="1" applyAlignment="1">
      <x:alignment horizontal="center" vertical="center"/>
    </x:xf>
    <x:xf numFmtId="204" fontId="5" fillId="6" borderId="1" xfId="0" applyNumberFormat="1" applyFont="1" applyFill="1" applyBorder="1" applyAlignment="1">
      <x:alignment horizontal="center" vertical="center"/>
    </x:xf>
    <x:xf numFmtId="204" fontId="5" fillId="6" borderId="9" xfId="0" applyNumberFormat="1" applyFont="1" applyFill="1" applyBorder="1" applyAlignment="1">
      <x:alignment horizontal="center" vertical="center"/>
    </x:xf>
    <x:xf numFmtId="204" fontId="5" fillId="6" borderId="10" xfId="0" applyNumberFormat="1" applyFont="1" applyFill="1" applyBorder="1" applyAlignment="1">
      <x:alignment horizontal="center" vertical="center"/>
    </x:xf>
    <x:xf numFmtId="204" fontId="5" fillId="6" borderId="3" xfId="0" applyNumberFormat="1" applyFont="1" applyFill="1" applyBorder="1" applyAlignment="1">
      <x:alignment horizontal="center" vertical="center"/>
    </x:xf>
    <x:xf numFmtId="204" fontId="5" fillId="6" borderId="1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9d0644e764938" /><Relationship Type="http://schemas.openxmlformats.org/officeDocument/2006/relationships/theme" Target="/xl/theme/theme1.xml" Id="Re4da32b1b95b49e8" /><Relationship Type="http://schemas.openxmlformats.org/officeDocument/2006/relationships/sharedStrings" Target="/xl/sharedStrings.xml" Id="Rf1259cdc10814001" /><Relationship Type="http://schemas.openxmlformats.org/officeDocument/2006/relationships/worksheet" Target="/xl/worksheets/sheet1.xml" Id="Rf14ff7d89bcd4afa" /><Relationship Type="http://schemas.openxmlformats.org/officeDocument/2006/relationships/worksheet" Target="/xl/worksheets/sheet2.xml" Id="R11872c47d6484e71" /><Relationship Type="http://schemas.openxmlformats.org/officeDocument/2006/relationships/worksheet" Target="/xl/worksheets/sheet3.xml" Id="R75146c20aeea4310" /><Relationship Type="http://schemas.openxmlformats.org/officeDocument/2006/relationships/worksheet" Target="/xl/worksheets/sheet4.xml" Id="R4e37aa47404749c8" /><Relationship Type="http://schemas.openxmlformats.org/officeDocument/2006/relationships/worksheet" Target="/xl/worksheets/sheet5.xml" Id="Re717a7e5a5af42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ec68e656f34237" /><Relationship Type="http://schemas.openxmlformats.org/officeDocument/2006/relationships/chart" Target="/xl/drawings/charts/chart2.xml" Id="R17a9233e925f46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181578b279448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Workflow Performance — Current vs Future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Current State</c:v>
          </c:tx>
          <c:cat>
            <c:strRef>
              <c:f>'Executive Dashboard'!$A$17:$A$20</c:f>
              <c:strCache>
                <c:ptCount val="0"/>
              </c:strCache>
            </c:strRef>
          </c:cat>
          <c:val>
            <c:numRef>
              <c:f>'Executive Dashboard'!$B$17:$B$20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Future State</c:v>
          </c:tx>
          <c:cat>
            <c:strRef>
              <c:f>'Executive Dashboard'!$A$17:$A$20</c:f>
              <c:strCache>
                <c:ptCount val="0"/>
              </c:strCache>
            </c:strRef>
          </c:cat>
          <c:val>
            <c:numRef>
              <c:f>'Executive Dashboard'!$C$17:$C$20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Administrative Handling Efficiency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'Executive Dashboard'!$F$17:$F$18</c:f>
              <c:strCache>
                <c:ptCount val="0"/>
              </c:strCache>
            </c:strRef>
          </c:cat>
          <c:val>
            <c:numRef>
              <c:f>'Executive Dashboard'!$G$17:$G$18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Future</c:v>
          </c:tx>
          <c:cat>
            <c:strRef>
              <c:f>'Executive Dashboard'!$F$17:$F$18</c:f>
              <c:strCache>
                <c:ptCount val="0"/>
              </c:strCache>
            </c:strRef>
          </c:cat>
          <c:val>
            <c:numRef>
              <c:f>'Executive Dashboard'!$H$17:$H$18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Throughput &amp; Backlog</a:t>
            </a:r>
          </a:p>
        </c:rich>
      </c:tx>
    </c:title>
    <c:plotArea>
      <c:lineChart>
        <c:grouping val="standard"/>
        <c:ser>
          <c:idx val="0"/>
          <c:order val="0"/>
          <c:tx>
            <c:v>Received</c:v>
          </c:tx>
          <c:marker>
            <c:symbol val="none"/>
          </c:marker>
          <c:cat>
            <c:strRef>
              <c:f>'Weekly Summary'!$A$2:$A$5</c:f>
              <c:strCache>
                <c:ptCount val="0"/>
              </c:strCache>
            </c:strRef>
          </c:cat>
          <c:val>
            <c:numRef>
              <c:f>'Weekly Summary'!$B$2:$B$5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marker>
            <c:symbol val="none"/>
          </c:marker>
          <c:cat>
            <c:strRef>
              <c:f>'Weekly Summary'!$A$2:$A$5</c:f>
              <c:strCache>
                <c:ptCount val="0"/>
              </c:strCache>
            </c:strRef>
          </c:cat>
          <c:val>
            <c:numRef>
              <c:f>'Weekly Summary'!$C$2:$C$5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Ending Backlog</c:v>
          </c:tx>
          <c:marker>
            <c:symbol val="none"/>
          </c:marker>
          <c:cat>
            <c:strRef>
              <c:f>'Weekly Summary'!$A$2:$A$5</c:f>
              <c:strCache>
                <c:ptCount val="0"/>
              </c:strCache>
            </c:strRef>
          </c:cat>
          <c:val>
            <c:numRef>
              <c:f>'Weekly Summary'!$D$2:$D$5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ec68e656f34237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a9233e925f46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81578b279448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QueueTable" displayName="WorkQueueTable" ref="A1:Q81" headerRowCount="1" totalsRowCount="0" totalsRowShown="0">
  <x:tableColumns count="17">
    <x:tableColumn id="1" name="Request_ID"/>
    <x:tableColumn id="2" name="Synthetic_Record_ID"/>
    <x:tableColumn id="3" name="Request_Type"/>
    <x:tableColumn id="4" name="Source_Channel"/>
    <x:tableColumn id="5" name="Priority"/>
    <x:tableColumn id="6" name="Received_Date"/>
    <x:tableColumn id="7" name="Owner_Queue"/>
    <x:tableColumn id="8" name="Assigned_Owner"/>
    <x:tableColumn id="9" name="Due_Date"/>
    <x:tableColumn id="10" name="Status"/>
    <x:tableColumn id="11" name="First_Touch_Hours"/>
    <x:tableColumn id="12" name="Handling_Minutes"/>
    <x:tableColumn id="13" name="Escalation_Type"/>
    <x:tableColumn id="14" name="Human_Review_Required"/>
    <x:tableColumn id="15" name="Classification_Confidence"/>
    <x:tableColumn id="16" name="Completed_Date"/>
    <x:tableColumn id="17" name="Overd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975238c8aa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a85925a689b49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ffbac85c3ca4b74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28" t="str">
        <x:v>AI-Enabled Healthcare Workflow Automation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A3" s="34" t="str">
        <x:v>Synthetic administrative work-queue model | AI-assisted classification + rules-based accountability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5">
      <x:c r="A5" s="42" t="str">
        <x:v>Owner Assignment</x:v>
      </x:c>
      <x:c r="B5" s="42"/>
      <x:c r="C5" s="42"/>
      <x:c r="D5" s="42" t="str">
        <x:v>Future Overdue Rate</x:v>
      </x:c>
      <x:c r="E5" s="42"/>
      <x:c r="F5" s="42"/>
      <x:c r="G5" s="42" t="str">
        <x:v>First Touch ≤ 1 Day</x:v>
      </x:c>
      <x:c r="H5" s="42"/>
      <x:c r="I5" s="42"/>
      <x:c r="J5" s="42" t="str">
        <x:v>Avg Handling Time</x:v>
      </x:c>
      <x:c r="K5" s="42"/>
      <x:c r="L5" s="42"/>
    </x:row>
    <x:row r="6">
      <x:c r="A6" s="86" t="n">
        <x:f>'Model Inputs'!C2</x:f>
        <x:v>1</x:v>
      </x:c>
      <x:c r="B6" s="87"/>
      <x:c r="C6" s="88"/>
      <x:c r="D6" s="86" t="n">
        <x:f>'Model Inputs'!C3</x:f>
        <x:v>0.04</x:v>
      </x:c>
      <x:c r="E6" s="87"/>
      <x:c r="F6" s="88"/>
      <x:c r="G6" s="86" t="n">
        <x:f>'Model Inputs'!C4</x:f>
        <x:v>0.96</x:v>
      </x:c>
      <x:c r="H6" s="87"/>
      <x:c r="I6" s="88"/>
      <x:c r="J6" s="98" t="n">
        <x:f>'Model Inputs'!C5</x:f>
        <x:v>4.5</x:v>
      </x:c>
      <x:c r="K6" s="99"/>
      <x:c r="L6" s="100"/>
    </x:row>
    <x:row r="7">
      <x:c r="A7" s="86"/>
      <x:c r="B7" s="87"/>
      <x:c r="C7" s="88"/>
      <x:c r="D7" s="86"/>
      <x:c r="E7" s="87"/>
      <x:c r="F7" s="88"/>
      <x:c r="G7" s="86"/>
      <x:c r="H7" s="87"/>
      <x:c r="I7" s="88"/>
      <x:c r="J7" s="98"/>
      <x:c r="K7" s="99"/>
      <x:c r="L7" s="100"/>
    </x:row>
    <x:row r="8">
      <x:c r="A8" s="89"/>
      <x:c r="B8" s="90"/>
      <x:c r="C8" s="91"/>
      <x:c r="D8" s="89"/>
      <x:c r="E8" s="90"/>
      <x:c r="F8" s="91"/>
      <x:c r="G8" s="89"/>
      <x:c r="H8" s="90"/>
      <x:c r="I8" s="91"/>
      <x:c r="J8" s="101"/>
      <x:c r="K8" s="102"/>
      <x:c r="L8" s="103"/>
    </x:row>
    <x:row r="10">
      <x:c r="A10" s="42" t="str">
        <x:v>Current Backlog</x:v>
      </x:c>
      <x:c r="B10" s="42"/>
      <x:c r="C10" s="42"/>
      <x:c r="D10" s="42" t="str">
        <x:v>Future Backlog</x:v>
      </x:c>
      <x:c r="E10" s="42"/>
      <x:c r="F10" s="42"/>
      <x:c r="G10" s="42" t="str">
        <x:v>Admin Hours Saved / Month</x:v>
      </x:c>
      <x:c r="H10" s="42"/>
      <x:c r="I10" s="42"/>
      <x:c r="J10" s="42" t="str">
        <x:v>Manual Escalation</x:v>
      </x:c>
      <x:c r="K10" s="42"/>
      <x:c r="L10" s="42"/>
    </x:row>
    <x:row r="11">
      <x:c r="A11" s="110" t="n">
        <x:f>'Model Inputs'!B8</x:f>
        <x:v>96</x:v>
      </x:c>
      <x:c r="B11" s="111"/>
      <x:c r="C11" s="112"/>
      <x:c r="D11" s="110" t="n">
        <x:f>'Model Inputs'!C8</x:f>
        <x:v>28</x:v>
      </x:c>
      <x:c r="E11" s="111"/>
      <x:c r="F11" s="112"/>
      <x:c r="G11" s="122" t="n">
        <x:f>'Model Inputs'!B13</x:f>
        <x:v>45</x:v>
      </x:c>
      <x:c r="H11" s="123"/>
      <x:c r="I11" s="124"/>
      <x:c r="J11" s="86" t="n">
        <x:f>'Model Inputs'!C6</x:f>
        <x:v>0.03</x:v>
      </x:c>
      <x:c r="K11" s="87"/>
      <x:c r="L11" s="88"/>
    </x:row>
    <x:row r="12">
      <x:c r="A12" s="110"/>
      <x:c r="B12" s="111"/>
      <x:c r="C12" s="112"/>
      <x:c r="D12" s="110"/>
      <x:c r="E12" s="111"/>
      <x:c r="F12" s="112"/>
      <x:c r="G12" s="122"/>
      <x:c r="H12" s="123"/>
      <x:c r="I12" s="124"/>
      <x:c r="J12" s="86"/>
      <x:c r="K12" s="87"/>
      <x:c r="L12" s="88"/>
    </x:row>
    <x:row r="13">
      <x:c r="A13" s="113"/>
      <x:c r="B13" s="114"/>
      <x:c r="C13" s="115"/>
      <x:c r="D13" s="113"/>
      <x:c r="E13" s="114"/>
      <x:c r="F13" s="115"/>
      <x:c r="G13" s="125"/>
      <x:c r="H13" s="126"/>
      <x:c r="I13" s="127"/>
      <x:c r="J13" s="89"/>
      <x:c r="K13" s="90"/>
      <x:c r="L13" s="91"/>
    </x:row>
    <x:row r="16">
      <x:c r="A16" s="3" t="str">
        <x:v>Metric</x:v>
      </x:c>
      <x:c r="B16" s="3" t="str">
        <x:v>Current State</x:v>
      </x:c>
      <x:c r="C16" s="3" t="str">
        <x:v>Future State</x:v>
      </x:c>
      <x:c r="D16" s="3" t="str">
        <x:v>Change</x:v>
      </x:c>
      <x:c r="F16" s="3" t="str">
        <x:v>Handling Efficiency</x:v>
      </x:c>
      <x:c r="G16" s="3" t="str">
        <x:v>Current</x:v>
      </x:c>
      <x:c r="H16" s="3" t="str">
        <x:v>Future</x:v>
      </x:c>
    </x:row>
    <x:row r="17">
      <x:c r="A17" t="str">
        <x:v>Owner assignment</x:v>
      </x:c>
      <x:c r="B17" s="10" t="n">
        <x:v>0.82</x:v>
      </x:c>
      <x:c r="C17" s="10" t="n">
        <x:v>1</x:v>
      </x:c>
      <x:c r="D17" s="10" t="n">
        <x:v>0.18</x:v>
      </x:c>
      <x:c r="F17" t="str">
        <x:v>Avg handling min</x:v>
      </x:c>
      <x:c r="G17" s="136" t="n">
        <x:v>9</x:v>
      </x:c>
      <x:c r="H17" s="136" t="n">
        <x:v>4.5</x:v>
      </x:c>
    </x:row>
    <x:row r="18">
      <x:c r="A18" t="str">
        <x:v>Overdue tasks</x:v>
      </x:c>
      <x:c r="B18" s="10" t="n">
        <x:v>0.18</x:v>
      </x:c>
      <x:c r="C18" s="10" t="n">
        <x:v>0.04</x:v>
      </x:c>
      <x:c r="D18" s="10" t="n">
        <x:v>-0.14</x:v>
      </x:c>
      <x:c r="F18" t="str">
        <x:v>Monthly handling hours</x:v>
      </x:c>
      <x:c r="G18" s="136" t="n">
        <x:v>90</x:v>
      </x:c>
      <x:c r="H18" s="136" t="n">
        <x:v>45</x:v>
      </x:c>
    </x:row>
    <x:row r="19">
      <x:c r="A19" t="str">
        <x:v>First touch &lt;= 1 day</x:v>
      </x:c>
      <x:c r="B19" s="10" t="n">
        <x:v>0.74</x:v>
      </x:c>
      <x:c r="C19" s="10" t="n">
        <x:v>0.96</x:v>
      </x:c>
      <x:c r="D19" s="10" t="n">
        <x:v>0.22</x:v>
      </x:c>
      <x:c r="F19" t="str">
        <x:v>Hours saved</x:v>
      </x:c>
      <x:c r="G19" s="136" t="n">
        <x:v>0</x:v>
      </x:c>
      <x:c r="H19" s="136" t="n">
        <x:v>45</x:v>
      </x:c>
    </x:row>
    <x:row r="20">
      <x:c r="A20" t="str">
        <x:v>Manual escalation</x:v>
      </x:c>
      <x:c r="B20" s="10" t="n">
        <x:v>0.11</x:v>
      </x:c>
      <x:c r="C20" s="10" t="n">
        <x:v>0.03</x:v>
      </x:c>
      <x:c r="D20" s="10" t="n">
        <x:v>-0.08</x:v>
      </x:c>
    </x:row>
    <x:row r="21">
      <x:c r="A21" t="str">
        <x:v>Month-end backlog</x:v>
      </x:c>
      <x:c r="B21" s="134" t="n">
        <x:v>96</x:v>
      </x:c>
      <x:c r="C21" s="134" t="n">
        <x:v>28</x:v>
      </x:c>
      <x:c r="D21" s="134" t="n">
        <x:v>-68</x:v>
      </x:c>
    </x:row>
    <x:row r="42">
      <x:c r="A42" s="7" t="str">
        <x:v>Executive Interpretation</x:v>
      </x:c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142" t="str">
        <x:v>1. The redesign converts ownership from a person-dependent behavior into a system requirement: every task has an accountable owner or queue.</x:v>
      </x:c>
      <x:c r="B43" s="142"/>
      <x:c r="C43" s="142"/>
      <x:c r="D43" s="142"/>
      <x:c r="E43" s="142"/>
      <x:c r="F43" s="142"/>
      <x:c r="G43" s="142"/>
      <x:c r="H43" s="142"/>
      <x:c r="I43" s="142"/>
      <x:c r="J43" s="142"/>
      <x:c r="K43" s="142"/>
      <x:c r="L43" s="142"/>
    </x:row>
    <x:row r="44">
      <x:c r="A44" s="143"/>
      <x:c r="B44" s="143"/>
      <x:c r="C44" s="143"/>
      <x:c r="D44" s="143"/>
      <x:c r="E44" s="143"/>
      <x:c r="F44" s="143"/>
      <x:c r="G44" s="143"/>
      <x:c r="H44" s="143"/>
      <x:c r="I44" s="143"/>
      <x:c r="J44" s="143"/>
      <x:c r="K44" s="143"/>
      <x:c r="L44" s="143"/>
    </x:row>
    <x:row r="45">
      <x:c r="A45" s="142" t="str">
        <x:v>2. Automated reminders and escalation reduce the modeled overdue rate from 18% to 4% while increasing first-touch performance from 74% to 96%.</x:v>
      </x:c>
      <x:c r="B45" s="142"/>
      <x:c r="C45" s="142"/>
      <x:c r="D45" s="142"/>
      <x:c r="E45" s="142"/>
      <x:c r="F45" s="142"/>
      <x:c r="G45" s="142"/>
      <x:c r="H45" s="142"/>
      <x:c r="I45" s="142"/>
      <x:c r="J45" s="142"/>
      <x:c r="K45" s="142"/>
      <x:c r="L45" s="142"/>
    </x:row>
    <x:row r="46">
      <x:c r="A46" s="143"/>
      <x:c r="B46" s="143"/>
      <x:c r="C46" s="143"/>
      <x:c r="D46" s="143"/>
      <x:c r="E46" s="143"/>
      <x:c r="F46" s="143"/>
      <x:c r="G46" s="143"/>
      <x:c r="H46" s="143"/>
      <x:c r="I46" s="143"/>
      <x:c r="J46" s="143"/>
      <x:c r="K46" s="143"/>
      <x:c r="L46" s="143"/>
    </x:row>
    <x:row r="47">
      <x:c r="A47" s="142" t="str">
        <x:v>3. Standardized classification, templates, and routing cut modeled administrative handling time in half, saving about 45 staff hours per month at 600 tasks.</x:v>
      </x:c>
      <x:c r="B47" s="142"/>
      <x:c r="C47" s="142"/>
      <x:c r="D47" s="142"/>
      <x:c r="E47" s="142"/>
      <x:c r="F47" s="142"/>
      <x:c r="G47" s="142"/>
      <x:c r="H47" s="142"/>
      <x:c r="I47" s="142"/>
      <x:c r="J47" s="142"/>
      <x:c r="K47" s="142"/>
      <x:c r="L47" s="142"/>
    </x:row>
    <x:row r="48">
      <x:c r="A48" s="143"/>
      <x:c r="B48" s="143"/>
      <x:c r="C48" s="143"/>
      <x:c r="D48" s="143"/>
      <x:c r="E48" s="143"/>
      <x:c r="F48" s="143"/>
      <x:c r="G48" s="143"/>
      <x:c r="H48" s="143"/>
      <x:c r="I48" s="143"/>
      <x:c r="J48" s="143"/>
      <x:c r="K48" s="143"/>
      <x:c r="L48" s="143"/>
    </x:row>
    <x:row r="49">
      <x:c r="A49" s="142" t="str">
        <x:v>4. Human-review controls remain mandatory for clinical judgment, safety concerns, ambiguous classification, missing information, and policy exceptions.</x:v>
      </x:c>
      <x:c r="B49" s="142"/>
      <x:c r="C49" s="142"/>
      <x:c r="D49" s="142"/>
      <x:c r="E49" s="142"/>
      <x:c r="F49" s="142"/>
      <x:c r="G49" s="142"/>
      <x:c r="H49" s="142"/>
      <x:c r="I49" s="142"/>
      <x:c r="J49" s="142"/>
      <x:c r="K49" s="142"/>
      <x:c r="L49" s="142"/>
    </x:row>
    <x:row r="50">
      <x:c r="A50" s="143"/>
      <x:c r="B50" s="143"/>
      <x:c r="C50" s="143"/>
      <x:c r="D50" s="143"/>
      <x:c r="E50" s="143"/>
      <x:c r="F50" s="143"/>
      <x:c r="G50" s="143"/>
      <x:c r="H50" s="143"/>
      <x:c r="I50" s="143"/>
      <x:c r="J50" s="143"/>
      <x:c r="K50" s="143"/>
      <x:c r="L50" s="143"/>
    </x:row>
    <x:row r="52">
      <x:c r="A52" s="154" t="str">
        <x:v>Portfolio note: All work items, metrics, staffing assumptions, results, owners, and record IDs are synthetic. No PHI, employer data, clinical protocols, or proprietary information are included.</x:v>
      </x:c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42:L42"/>
    <x:mergeCell ref="A43:L44"/>
    <x:mergeCell ref="A45:L46"/>
    <x:mergeCell ref="A47:L48"/>
    <x:mergeCell ref="A49:L50"/>
    <x:mergeCell ref="A52:L53"/>
  </x:mergeCells>
  <x:pageMargins left="0.7" right="0.7" top="0.75" bottom="0.75" header="0.3" footer="0.3"/>
  <x:drawing xmlns:r="http://schemas.openxmlformats.org/officeDocument/2006/relationships" r:id="Rfa975238c8aa4e6c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4" hidden="0" customWidth="1"/>
  </x:cols>
  <x:sheetData>
    <x:row r="1">
      <x:c r="A1" s="16" t="str">
        <x:v>Metric</x:v>
      </x:c>
      <x:c r="B1" s="16" t="str">
        <x:v>Current State</x:v>
      </x:c>
      <x:c r="C1" s="16" t="str">
        <x:v>Future State</x:v>
      </x:c>
      <x:c r="D1" s="16" t="str">
        <x:v>Interpretation</x:v>
      </x:c>
    </x:row>
    <x:row r="2">
      <x:c r="A2" s="13" t="str">
        <x:v>Tasks with assigned owner</x:v>
      </x:c>
      <x:c r="B2" s="12" t="n">
        <x:v>0.82</x:v>
      </x:c>
      <x:c r="C2" s="12" t="n">
        <x:v>1</x:v>
      </x:c>
      <x:c r="D2" s="13" t="str">
        <x:v>Clear accountability</x:v>
      </x:c>
    </x:row>
    <x:row r="3">
      <x:c r="A3" s="13" t="str">
        <x:v>Overdue tasks</x:v>
      </x:c>
      <x:c r="B3" s="12" t="n">
        <x:v>0.18</x:v>
      </x:c>
      <x:c r="C3" s="12" t="n">
        <x:v>0.04</x:v>
      </x:c>
      <x:c r="D3" s="13" t="str">
        <x:v>SLA control and escalation</x:v>
      </x:c>
    </x:row>
    <x:row r="4">
      <x:c r="A4" s="13" t="str">
        <x:v>First touch within 1 business day</x:v>
      </x:c>
      <x:c r="B4" s="12" t="n">
        <x:v>0.74</x:v>
      </x:c>
      <x:c r="C4" s="12" t="n">
        <x:v>0.96</x:v>
      </x:c>
      <x:c r="D4" s="13" t="str">
        <x:v>Faster response</x:v>
      </x:c>
    </x:row>
    <x:row r="5">
      <x:c r="A5" s="13" t="str">
        <x:v>Average administrative handling time (min)</x:v>
      </x:c>
      <x:c r="B5" s="13" t="n">
        <x:v>9</x:v>
      </x:c>
      <x:c r="C5" s="13" t="n">
        <x:v>4.5</x:v>
      </x:c>
      <x:c r="D5" s="13" t="str">
        <x:v>Less manual handling</x:v>
      </x:c>
    </x:row>
    <x:row r="6">
      <x:c r="A6" s="13" t="str">
        <x:v>Manual escalation rate</x:v>
      </x:c>
      <x:c r="B6" s="12" t="n">
        <x:v>0.11</x:v>
      </x:c>
      <x:c r="C6" s="12" t="n">
        <x:v>0.03</x:v>
      </x:c>
      <x:c r="D6" s="13" t="str">
        <x:v>Standardized exception routing</x:v>
      </x:c>
    </x:row>
    <x:row r="7">
      <x:c r="A7" s="13" t="str">
        <x:v>Monthly work-item volume</x:v>
      </x:c>
      <x:c r="B7" s="13" t="n">
        <x:v>600</x:v>
      </x:c>
      <x:c r="C7" s="13" t="n">
        <x:v>600</x:v>
      </x:c>
      <x:c r="D7" s="13" t="str">
        <x:v>Modeled steady volume</x:v>
      </x:c>
    </x:row>
    <x:row r="8">
      <x:c r="A8" s="13" t="str">
        <x:v>Open backlog at month end</x:v>
      </x:c>
      <x:c r="B8" s="13" t="n">
        <x:v>96</x:v>
      </x:c>
      <x:c r="C8" s="13" t="n">
        <x:v>28</x:v>
      </x:c>
      <x:c r="D8" s="13" t="str">
        <x:v>Improved throughput / visibility</x:v>
      </x:c>
    </x:row>
    <x:row r="9">
      <x:c r="A9" s="13"/>
      <x:c r="B9" s="13"/>
      <x:c r="C9" s="13"/>
      <x:c r="D9" s="13"/>
    </x:row>
    <x:row r="10">
      <x:c r="A10" s="17" t="str">
        <x:v>Derived Metric</x:v>
      </x:c>
      <x:c r="B10" s="17" t="str">
        <x:v>Value</x:v>
      </x:c>
      <x:c r="C10" s="13"/>
      <x:c r="D10" s="13"/>
    </x:row>
    <x:row r="11">
      <x:c r="A11" s="13" t="str">
        <x:v>Current monthly handling hours</x:v>
      </x:c>
      <x:c r="B11" s="13" t="n">
        <x:f>B5*B7/60</x:f>
        <x:v>90</x:v>
      </x:c>
      <x:c r="C11" s="13"/>
      <x:c r="D11" s="13"/>
    </x:row>
    <x:row r="12">
      <x:c r="A12" s="13" t="str">
        <x:v>Future monthly handling hours</x:v>
      </x:c>
      <x:c r="B12" s="13" t="n">
        <x:f>C5*C7/60</x:f>
        <x:v>45</x:v>
      </x:c>
      <x:c r="C12" s="13"/>
      <x:c r="D12" s="13"/>
    </x:row>
    <x:row r="13">
      <x:c r="A13" s="13" t="str">
        <x:v>Estimated admin hours saved / month</x:v>
      </x:c>
      <x:c r="B13" s="13" t="n">
        <x:f>B11-B12</x:f>
        <x:v>45</x:v>
      </x:c>
      <x:c r="C13" s="13"/>
      <x:c r="D13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30" hidden="0" customWidth="1"/>
    <x:col min="4" max="4" width="15" hidden="0" customWidth="1"/>
    <x:col min="5" max="5" width="1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3" hidden="0" customWidth="1"/>
    <x:col min="11" max="11" width="16" hidden="0" customWidth="1"/>
    <x:col min="12" max="12" width="16" hidden="0" customWidth="1"/>
    <x:col min="13" max="13" width="20" hidden="0" customWidth="1"/>
    <x:col min="14" max="14" width="20" hidden="0" customWidth="1"/>
    <x:col min="15" max="15" width="20" hidden="0" customWidth="1"/>
    <x:col min="16" max="16" width="19" hidden="0" customWidth="1"/>
    <x:col min="17" max="17" width="10" hidden="0" customWidth="1"/>
  </x:cols>
  <x:sheetData>
    <x:row r="1">
      <x:c r="A1" s="21" t="str">
        <x:v>Request_ID</x:v>
      </x:c>
      <x:c r="B1" s="21" t="str">
        <x:v>Synthetic_Record_ID</x:v>
      </x:c>
      <x:c r="C1" s="21" t="str">
        <x:v>Request_Type</x:v>
      </x:c>
      <x:c r="D1" s="21" t="str">
        <x:v>Source_Channel</x:v>
      </x:c>
      <x:c r="E1" s="21" t="str">
        <x:v>Priority</x:v>
      </x:c>
      <x:c r="F1" s="21" t="str">
        <x:v>Received_Date</x:v>
      </x:c>
      <x:c r="G1" s="21" t="str">
        <x:v>Owner_Queue</x:v>
      </x:c>
      <x:c r="H1" s="21" t="str">
        <x:v>Assigned_Owner</x:v>
      </x:c>
      <x:c r="I1" s="21" t="str">
        <x:v>Due_Date</x:v>
      </x:c>
      <x:c r="J1" s="21" t="str">
        <x:v>Status</x:v>
      </x:c>
      <x:c r="K1" s="21" t="str">
        <x:v>First_Touch_Hours</x:v>
      </x:c>
      <x:c r="L1" s="21" t="str">
        <x:v>Handling_Minutes</x:v>
      </x:c>
      <x:c r="M1" s="21" t="str">
        <x:v>Escalation_Type</x:v>
      </x:c>
      <x:c r="N1" s="21" t="str">
        <x:v>Human_Review_Required</x:v>
      </x:c>
      <x:c r="O1" s="21" t="str">
        <x:v>Classification_Confidence</x:v>
      </x:c>
      <x:c r="P1" s="21" t="str">
        <x:v>Completed_Date</x:v>
      </x:c>
      <x:c r="Q1" s="21" t="str">
        <x:v>Overdue</x:v>
      </x:c>
    </x:row>
    <x:row r="2">
      <x:c r="A2" s="13" t="str">
        <x:v>WQ-1001</x:v>
      </x:c>
      <x:c r="B2" s="13" t="str">
        <x:v>SYN-5001</x:v>
      </x:c>
      <x:c r="C2" s="13" t="str">
        <x:v>Prior Authorization</x:v>
      </x:c>
      <x:c r="D2" s="13" t="str">
        <x:v>Portal</x:v>
      </x:c>
      <x:c r="E2" s="13" t="str">
        <x:v>High</x:v>
      </x:c>
      <x:c r="F2" s="13" t="str">
        <x:v>2026-08-03 12:15</x:v>
      </x:c>
      <x:c r="G2" s="13" t="str">
        <x:v>Authorization Team</x:v>
      </x:c>
      <x:c r="H2" s="13" t="str">
        <x:v>T. Brooks</x:v>
      </x:c>
      <x:c r="I2" s="13" t="str">
        <x:v>2026-08-04 12:15</x:v>
      </x:c>
      <x:c r="J2" s="13" t="str">
        <x:v>Completed</x:v>
      </x:c>
      <x:c r="K2" s="13" t="n">
        <x:v>8.5</x:v>
      </x:c>
      <x:c r="L2" s="13" t="n">
        <x:v>4.9</x:v>
      </x:c>
      <x:c r="M2" s="13" t="str">
        <x:v>None</x:v>
      </x:c>
      <x:c r="N2" s="13" t="str">
        <x:v>No</x:v>
      </x:c>
      <x:c r="O2" s="13" t="n">
        <x:v>0.96</x:v>
      </x:c>
      <x:c r="P2" s="13" t="str">
        <x:v>2026-08-03 17:30</x:v>
      </x:c>
      <x:c r="Q2" s="13" t="str">
        <x:v>No</x:v>
      </x:c>
    </x:row>
    <x:row r="3">
      <x:c r="A3" s="13" t="str">
        <x:v>WQ-1002</x:v>
      </x:c>
      <x:c r="B3" s="13" t="str">
        <x:v>SYN-5002</x:v>
      </x:c>
      <x:c r="C3" s="13" t="str">
        <x:v>Referral</x:v>
      </x:c>
      <x:c r="D3" s="13" t="str">
        <x:v>Phone</x:v>
      </x:c>
      <x:c r="E3" s="13" t="str">
        <x:v>Standard</x:v>
      </x:c>
      <x:c r="F3" s="13" t="str">
        <x:v>2026-08-20 11:45</x:v>
      </x:c>
      <x:c r="G3" s="13" t="str">
        <x:v>Referral Team</x:v>
      </x:c>
      <x:c r="H3" s="13" t="str">
        <x:v>R. Allen</x:v>
      </x:c>
      <x:c r="I3" s="13" t="str">
        <x:v>2026-08-22 11:45</x:v>
      </x:c>
      <x:c r="J3" s="13" t="str">
        <x:v>Completed</x:v>
      </x:c>
      <x:c r="K3" s="13" t="n">
        <x:v>10.7</x:v>
      </x:c>
      <x:c r="L3" s="13" t="n">
        <x:v>4.6</x:v>
      </x:c>
      <x:c r="M3" s="13" t="str">
        <x:v>None</x:v>
      </x:c>
      <x:c r="N3" s="13" t="str">
        <x:v>No</x:v>
      </x:c>
      <x:c r="O3" s="13" t="n">
        <x:v>0.94</x:v>
      </x:c>
      <x:c r="P3" s="13" t="str">
        <x:v>2026-08-20 17:15</x:v>
      </x:c>
      <x:c r="Q3" s="13" t="str">
        <x:v>No</x:v>
      </x:c>
    </x:row>
    <x:row r="4">
      <x:c r="A4" s="13" t="str">
        <x:v>WQ-1003</x:v>
      </x:c>
      <x:c r="B4" s="13" t="str">
        <x:v>SYN-5003</x:v>
      </x:c>
      <x:c r="C4" s="13" t="str">
        <x:v>Administrative Patient Message</x:v>
      </x:c>
      <x:c r="D4" s="13" t="str">
        <x:v>Fax</x:v>
      </x:c>
      <x:c r="E4" s="13" t="str">
        <x:v>Standard</x:v>
      </x:c>
      <x:c r="F4" s="13" t="str">
        <x:v>2026-08-13 12:15</x:v>
      </x:c>
      <x:c r="G4" s="13" t="str">
        <x:v>Patient Support</x:v>
      </x:c>
      <x:c r="H4" s="13" t="str">
        <x:v>E. Scott</x:v>
      </x:c>
      <x:c r="I4" s="13" t="str">
        <x:v>2026-08-14 12:15</x:v>
      </x:c>
      <x:c r="J4" s="13" t="str">
        <x:v>Completed</x:v>
      </x:c>
      <x:c r="K4" s="13" t="n">
        <x:v>1.8</x:v>
      </x:c>
      <x:c r="L4" s="13" t="n">
        <x:v>6.1</x:v>
      </x:c>
      <x:c r="M4" s="13" t="str">
        <x:v>None</x:v>
      </x:c>
      <x:c r="N4" s="13" t="str">
        <x:v>No</x:v>
      </x:c>
      <x:c r="O4" s="13" t="n">
        <x:v>0.96</x:v>
      </x:c>
      <x:c r="P4" s="13" t="str">
        <x:v>2026-08-13 22:42</x:v>
      </x:c>
      <x:c r="Q4" s="13" t="str">
        <x:v>No</x:v>
      </x:c>
    </x:row>
    <x:row r="5">
      <x:c r="A5" s="13" t="str">
        <x:v>WQ-1004</x:v>
      </x:c>
      <x:c r="B5" s="13" t="str">
        <x:v>SYN-5004</x:v>
      </x:c>
      <x:c r="C5" s="13" t="str">
        <x:v>Referral</x:v>
      </x:c>
      <x:c r="D5" s="13" t="str">
        <x:v>Internal Message</x:v>
      </x:c>
      <x:c r="E5" s="13" t="str">
        <x:v>Standard</x:v>
      </x:c>
      <x:c r="F5" s="13" t="str">
        <x:v>2026-08-26 15:00</x:v>
      </x:c>
      <x:c r="G5" s="13" t="str">
        <x:v>Referral Team</x:v>
      </x:c>
      <x:c r="H5" s="13" t="str">
        <x:v>M. Cole</x:v>
      </x:c>
      <x:c r="I5" s="13" t="str">
        <x:v>2026-08-28 15:00</x:v>
      </x:c>
      <x:c r="J5" s="13" t="str">
        <x:v>Completed</x:v>
      </x:c>
      <x:c r="K5" s="13" t="n">
        <x:v>11.7</x:v>
      </x:c>
      <x:c r="L5" s="13" t="n">
        <x:v>5.6</x:v>
      </x:c>
      <x:c r="M5" s="13" t="str">
        <x:v>None</x:v>
      </x:c>
      <x:c r="N5" s="13" t="str">
        <x:v>No</x:v>
      </x:c>
      <x:c r="O5" s="13" t="n">
        <x:v>0.92</x:v>
      </x:c>
      <x:c r="P5" s="13" t="str">
        <x:v>2026-08-27 06:36</x:v>
      </x:c>
      <x:c r="Q5" s="13" t="str">
        <x:v>No</x:v>
      </x:c>
    </x:row>
    <x:row r="6">
      <x:c r="A6" s="13" t="str">
        <x:v>WQ-1005</x:v>
      </x:c>
      <x:c r="B6" s="13" t="str">
        <x:v>SYN-5005</x:v>
      </x:c>
      <x:c r="C6" s="13" t="str">
        <x:v>Documentation Follow-up</x:v>
      </x:c>
      <x:c r="D6" s="13" t="str">
        <x:v>Email</x:v>
      </x:c>
      <x:c r="E6" s="13" t="str">
        <x:v>Standard</x:v>
      </x:c>
      <x:c r="F6" s="13" t="str">
        <x:v>2026-08-21 11:00</x:v>
      </x:c>
      <x:c r="G6" s="13" t="str">
        <x:v>Clinical Support</x:v>
      </x:c>
      <x:c r="H6" s="13" t="str">
        <x:v>C. Hall</x:v>
      </x:c>
      <x:c r="I6" s="13" t="str">
        <x:v>2026-08-23 11:00</x:v>
      </x:c>
      <x:c r="J6" s="13" t="str">
        <x:v>Completed</x:v>
      </x:c>
      <x:c r="K6" s="13" t="n">
        <x:v>12</x:v>
      </x:c>
      <x:c r="L6" s="13" t="n">
        <x:v>5.2</x:v>
      </x:c>
      <x:c r="M6" s="13" t="str">
        <x:v>Human Review</x:v>
      </x:c>
      <x:c r="N6" s="13" t="str">
        <x:v>Yes</x:v>
      </x:c>
      <x:c r="O6" s="13" t="n">
        <x:v>0.68</x:v>
      </x:c>
      <x:c r="P6" s="13" t="str">
        <x:v>2026-08-21 22:58</x:v>
      </x:c>
      <x:c r="Q6" s="13" t="str">
        <x:v>No</x:v>
      </x:c>
    </x:row>
    <x:row r="7">
      <x:c r="A7" s="13" t="str">
        <x:v>WQ-1006</x:v>
      </x:c>
      <x:c r="B7" s="13" t="str">
        <x:v>SYN-5006</x:v>
      </x:c>
      <x:c r="C7" s="13" t="str">
        <x:v>Documentation Follow-up</x:v>
      </x:c>
      <x:c r="D7" s="13" t="str">
        <x:v>Portal</x:v>
      </x:c>
      <x:c r="E7" s="13" t="str">
        <x:v>Standard</x:v>
      </x:c>
      <x:c r="F7" s="13" t="str">
        <x:v>2026-08-08 13:30</x:v>
      </x:c>
      <x:c r="G7" s="13" t="str">
        <x:v>Clinical Support</x:v>
      </x:c>
      <x:c r="H7" s="13" t="str">
        <x:v>C. Hall</x:v>
      </x:c>
      <x:c r="I7" s="13" t="str">
        <x:v>2026-08-10 13:30</x:v>
      </x:c>
      <x:c r="J7" s="13" t="str">
        <x:v>Completed</x:v>
      </x:c>
      <x:c r="K7" s="13" t="n">
        <x:v>8.7</x:v>
      </x:c>
      <x:c r="L7" s="13" t="n">
        <x:v>3.8</x:v>
      </x:c>
      <x:c r="M7" s="13" t="str">
        <x:v>None</x:v>
      </x:c>
      <x:c r="N7" s="13" t="str">
        <x:v>No</x:v>
      </x:c>
      <x:c r="O7" s="13" t="n">
        <x:v>0.91</x:v>
      </x:c>
      <x:c r="P7" s="13" t="str">
        <x:v>2026-08-08 19:15</x:v>
      </x:c>
      <x:c r="Q7" s="13" t="str">
        <x:v>No</x:v>
      </x:c>
    </x:row>
    <x:row r="8">
      <x:c r="A8" s="13" t="str">
        <x:v>WQ-1007</x:v>
      </x:c>
      <x:c r="B8" s="13" t="str">
        <x:v>SYN-5007</x:v>
      </x:c>
      <x:c r="C8" s="13" t="str">
        <x:v>Records Request</x:v>
      </x:c>
      <x:c r="D8" s="13" t="str">
        <x:v>Phone</x:v>
      </x:c>
      <x:c r="E8" s="13" t="str">
        <x:v>Standard</x:v>
      </x:c>
      <x:c r="F8" s="13" t="str">
        <x:v>2026-08-08 15:45</x:v>
      </x:c>
      <x:c r="G8" s="13" t="str">
        <x:v>Records</x:v>
      </x:c>
      <x:c r="H8" s="13" t="str">
        <x:v>K. Lewis</x:v>
      </x:c>
      <x:c r="I8" s="13" t="str">
        <x:v>2026-08-11 15:45</x:v>
      </x:c>
      <x:c r="J8" s="13" t="str">
        <x:v>Completed</x:v>
      </x:c>
      <x:c r="K8" s="13" t="n">
        <x:v>9.7</x:v>
      </x:c>
      <x:c r="L8" s="13" t="n">
        <x:v>5.5</x:v>
      </x:c>
      <x:c r="M8" s="13" t="str">
        <x:v>None</x:v>
      </x:c>
      <x:c r="N8" s="13" t="str">
        <x:v>No</x:v>
      </x:c>
      <x:c r="O8" s="13" t="n">
        <x:v>0.98</x:v>
      </x:c>
      <x:c r="P8" s="13" t="str">
        <x:v>2026-08-09 00:37</x:v>
      </x:c>
      <x:c r="Q8" s="13" t="str">
        <x:v>No</x:v>
      </x:c>
    </x:row>
    <x:row r="9">
      <x:c r="A9" s="13" t="str">
        <x:v>WQ-1008</x:v>
      </x:c>
      <x:c r="B9" s="13" t="str">
        <x:v>SYN-5008</x:v>
      </x:c>
      <x:c r="C9" s="13" t="str">
        <x:v>Referral</x:v>
      </x:c>
      <x:c r="D9" s="13" t="str">
        <x:v>Fax</x:v>
      </x:c>
      <x:c r="E9" s="13" t="str">
        <x:v>Standard</x:v>
      </x:c>
      <x:c r="F9" s="13" t="str">
        <x:v>2026-08-28 13:45</x:v>
      </x:c>
      <x:c r="G9" s="13" t="str">
        <x:v>Referral Team</x:v>
      </x:c>
      <x:c r="H9" s="13" t="str">
        <x:v>M. Cole</x:v>
      </x:c>
      <x:c r="I9" s="13" t="str">
        <x:v>2026-08-30 13:45</x:v>
      </x:c>
      <x:c r="J9" s="13" t="str">
        <x:v>Completed</x:v>
      </x:c>
      <x:c r="K9" s="13" t="n">
        <x:v>3.4</x:v>
      </x:c>
      <x:c r="L9" s="13" t="n">
        <x:v>3.1</x:v>
      </x:c>
      <x:c r="M9" s="13" t="str">
        <x:v>None</x:v>
      </x:c>
      <x:c r="N9" s="13" t="str">
        <x:v>No</x:v>
      </x:c>
      <x:c r="O9" s="13" t="n">
        <x:v>0.9</x:v>
      </x:c>
      <x:c r="P9" s="13" t="str">
        <x:v>2026-08-29 02:43</x:v>
      </x:c>
      <x:c r="Q9" s="13" t="str">
        <x:v>No</x:v>
      </x:c>
    </x:row>
    <x:row r="10">
      <x:c r="A10" s="13" t="str">
        <x:v>WQ-1009</x:v>
      </x:c>
      <x:c r="B10" s="13" t="str">
        <x:v>SYN-5009</x:v>
      </x:c>
      <x:c r="C10" s="13" t="str">
        <x:v>Medication Workflow — Administrative</x:v>
      </x:c>
      <x:c r="D10" s="13" t="str">
        <x:v>Internal Message</x:v>
      </x:c>
      <x:c r="E10" s="13" t="str">
        <x:v>High</x:v>
      </x:c>
      <x:c r="F10" s="13" t="str">
        <x:v>2026-08-07 12:15</x:v>
      </x:c>
      <x:c r="G10" s="13" t="str">
        <x:v>Clinical Support</x:v>
      </x:c>
      <x:c r="H10" s="13" t="str">
        <x:v>N. King</x:v>
      </x:c>
      <x:c r="I10" s="13" t="str">
        <x:v>2026-08-07 12:15</x:v>
      </x:c>
      <x:c r="J10" s="13" t="str">
        <x:v>Completed</x:v>
      </x:c>
      <x:c r="K10" s="13" t="n">
        <x:v>10.6</x:v>
      </x:c>
      <x:c r="L10" s="13" t="n">
        <x:v>3.3</x:v>
      </x:c>
      <x:c r="M10" s="13" t="str">
        <x:v>None</x:v>
      </x:c>
      <x:c r="N10" s="13" t="str">
        <x:v>No</x:v>
      </x:c>
      <x:c r="O10" s="13" t="n">
        <x:v>0.94</x:v>
      </x:c>
      <x:c r="P10" s="13" t="str">
        <x:v>2026-08-07 15:15</x:v>
      </x:c>
      <x:c r="Q10" s="13" t="str">
        <x:v>No</x:v>
      </x:c>
    </x:row>
    <x:row r="11">
      <x:c r="A11" s="13" t="str">
        <x:v>WQ-1010</x:v>
      </x:c>
      <x:c r="B11" s="13" t="str">
        <x:v>SYN-5010</x:v>
      </x:c>
      <x:c r="C11" s="13" t="str">
        <x:v>Scheduling Follow-up</x:v>
      </x:c>
      <x:c r="D11" s="13" t="str">
        <x:v>Email</x:v>
      </x:c>
      <x:c r="E11" s="13" t="str">
        <x:v>Standard</x:v>
      </x:c>
      <x:c r="F11" s="13" t="str">
        <x:v>2026-08-19 15:00</x:v>
      </x:c>
      <x:c r="G11" s="13" t="str">
        <x:v>Scheduling</x:v>
      </x:c>
      <x:c r="H11" s="13" t="str">
        <x:v>J. Green</x:v>
      </x:c>
      <x:c r="I11" s="13" t="str">
        <x:v>2026-08-20 15:00</x:v>
      </x:c>
      <x:c r="J11" s="13" t="str">
        <x:v>Completed</x:v>
      </x:c>
      <x:c r="K11" s="13" t="n">
        <x:v>9</x:v>
      </x:c>
      <x:c r="L11" s="13" t="n">
        <x:v>5.1</x:v>
      </x:c>
      <x:c r="M11" s="13" t="str">
        <x:v>None</x:v>
      </x:c>
      <x:c r="N11" s="13" t="str">
        <x:v>No</x:v>
      </x:c>
      <x:c r="O11" s="13" t="n">
        <x:v>0.97</x:v>
      </x:c>
      <x:c r="P11" s="13" t="str">
        <x:v>2026-08-20 04:05</x:v>
      </x:c>
      <x:c r="Q11" s="13" t="str">
        <x:v>No</x:v>
      </x:c>
    </x:row>
    <x:row r="12">
      <x:c r="A12" s="13" t="str">
        <x:v>WQ-1011</x:v>
      </x:c>
      <x:c r="B12" s="13" t="str">
        <x:v>SYN-5011</x:v>
      </x:c>
      <x:c r="C12" s="13" t="str">
        <x:v>Administrative Patient Message</x:v>
      </x:c>
      <x:c r="D12" s="13" t="str">
        <x:v>Portal</x:v>
      </x:c>
      <x:c r="E12" s="13" t="str">
        <x:v>Standard</x:v>
      </x:c>
      <x:c r="F12" s="13" t="str">
        <x:v>2026-08-22 09:45</x:v>
      </x:c>
      <x:c r="G12" s="13" t="str">
        <x:v>Patient Support</x:v>
      </x:c>
      <x:c r="H12" s="13" t="str">
        <x:v>B. Ward</x:v>
      </x:c>
      <x:c r="I12" s="13" t="str">
        <x:v>2026-08-23 09:45</x:v>
      </x:c>
      <x:c r="J12" s="13" t="str">
        <x:v>Completed</x:v>
      </x:c>
      <x:c r="K12" s="13" t="n">
        <x:v>13.6</x:v>
      </x:c>
      <x:c r="L12" s="13" t="n">
        <x:v>4.6</x:v>
      </x:c>
      <x:c r="M12" s="13" t="str">
        <x:v>None</x:v>
      </x:c>
      <x:c r="N12" s="13" t="str">
        <x:v>No</x:v>
      </x:c>
      <x:c r="O12" s="13" t="n">
        <x:v>0.99</x:v>
      </x:c>
      <x:c r="P12" s="13" t="str">
        <x:v>2026-08-22 21:50</x:v>
      </x:c>
      <x:c r="Q12" s="13" t="str">
        <x:v>No</x:v>
      </x:c>
    </x:row>
    <x:row r="13">
      <x:c r="A13" s="13" t="str">
        <x:v>WQ-1012</x:v>
      </x:c>
      <x:c r="B13" s="13" t="str">
        <x:v>SYN-5012</x:v>
      </x:c>
      <x:c r="C13" s="13" t="str">
        <x:v>Billing Question</x:v>
      </x:c>
      <x:c r="D13" s="13" t="str">
        <x:v>Phone</x:v>
      </x:c>
      <x:c r="E13" s="13" t="str">
        <x:v>Standard</x:v>
      </x:c>
      <x:c r="F13" s="13" t="str">
        <x:v>2026-08-27 13:00</x:v>
      </x:c>
      <x:c r="G13" s="13" t="str">
        <x:v>Billing Support</x:v>
      </x:c>
      <x:c r="H13" s="13" t="str">
        <x:v>D. Hill</x:v>
      </x:c>
      <x:c r="I13" s="13" t="str">
        <x:v>2026-08-29 13:00</x:v>
      </x:c>
      <x:c r="J13" s="13" t="str">
        <x:v>Completed</x:v>
      </x:c>
      <x:c r="K13" s="13" t="n">
        <x:v>13.4</x:v>
      </x:c>
      <x:c r="L13" s="13" t="n">
        <x:v>4.4</x:v>
      </x:c>
      <x:c r="M13" s="13" t="str">
        <x:v>None</x:v>
      </x:c>
      <x:c r="N13" s="13" t="str">
        <x:v>No</x:v>
      </x:c>
      <x:c r="O13" s="13" t="n">
        <x:v>0.9</x:v>
      </x:c>
      <x:c r="P13" s="13" t="str">
        <x:v>2026-08-28 10:16</x:v>
      </x:c>
      <x:c r="Q13" s="13" t="str">
        <x:v>No</x:v>
      </x:c>
    </x:row>
    <x:row r="14">
      <x:c r="A14" s="13" t="str">
        <x:v>WQ-1013</x:v>
      </x:c>
      <x:c r="B14" s="13" t="str">
        <x:v>SYN-5013</x:v>
      </x:c>
      <x:c r="C14" s="13" t="str">
        <x:v>Billing Question</x:v>
      </x:c>
      <x:c r="D14" s="13" t="str">
        <x:v>Fax</x:v>
      </x:c>
      <x:c r="E14" s="13" t="str">
        <x:v>Standard</x:v>
      </x:c>
      <x:c r="F14" s="13" t="str">
        <x:v>2026-08-19 10:00</x:v>
      </x:c>
      <x:c r="G14" s="13" t="str">
        <x:v>Billing Support</x:v>
      </x:c>
      <x:c r="H14" s="13" t="str">
        <x:v>D. Hill</x:v>
      </x:c>
      <x:c r="I14" s="13" t="str">
        <x:v>2026-08-21 10:00</x:v>
      </x:c>
      <x:c r="J14" s="13" t="str">
        <x:v>Completed</x:v>
      </x:c>
      <x:c r="K14" s="13" t="n">
        <x:v>2.6</x:v>
      </x:c>
      <x:c r="L14" s="13" t="n">
        <x:v>4.6</x:v>
      </x:c>
      <x:c r="M14" s="13" t="str">
        <x:v>None</x:v>
      </x:c>
      <x:c r="N14" s="13" t="str">
        <x:v>No</x:v>
      </x:c>
      <x:c r="O14" s="13" t="n">
        <x:v>0.91</x:v>
      </x:c>
      <x:c r="P14" s="13" t="str">
        <x:v>2026-08-21 17:46</x:v>
      </x:c>
      <x:c r="Q14" s="13" t="str">
        <x:v>Yes</x:v>
      </x:c>
    </x:row>
    <x:row r="15">
      <x:c r="A15" s="13" t="str">
        <x:v>WQ-1014</x:v>
      </x:c>
      <x:c r="B15" s="13" t="str">
        <x:v>SYN-5014</x:v>
      </x:c>
      <x:c r="C15" s="13" t="str">
        <x:v>Referral</x:v>
      </x:c>
      <x:c r="D15" s="13" t="str">
        <x:v>Internal Message</x:v>
      </x:c>
      <x:c r="E15" s="13" t="str">
        <x:v>Standard</x:v>
      </x:c>
      <x:c r="F15" s="13" t="str">
        <x:v>2026-08-22 13:45</x:v>
      </x:c>
      <x:c r="G15" s="13" t="str">
        <x:v>Referral Team</x:v>
      </x:c>
      <x:c r="H15" s="13" t="str">
        <x:v>M. Cole</x:v>
      </x:c>
      <x:c r="I15" s="13" t="str">
        <x:v>2026-08-24 13:45</x:v>
      </x:c>
      <x:c r="J15" s="13" t="str">
        <x:v>Completed</x:v>
      </x:c>
      <x:c r="K15" s="13" t="n">
        <x:v>3.7</x:v>
      </x:c>
      <x:c r="L15" s="13" t="n">
        <x:v>3.3</x:v>
      </x:c>
      <x:c r="M15" s="13" t="str">
        <x:v>Human Review</x:v>
      </x:c>
      <x:c r="N15" s="13" t="str">
        <x:v>Yes</x:v>
      </x:c>
      <x:c r="O15" s="13" t="n">
        <x:v>0.81</x:v>
      </x:c>
      <x:c r="P15" s="13" t="str">
        <x:v>2026-08-22 21:02</x:v>
      </x:c>
      <x:c r="Q15" s="13" t="str">
        <x:v>No</x:v>
      </x:c>
    </x:row>
    <x:row r="16">
      <x:c r="A16" s="13" t="str">
        <x:v>WQ-1015</x:v>
      </x:c>
      <x:c r="B16" s="13" t="str">
        <x:v>SYN-5015</x:v>
      </x:c>
      <x:c r="C16" s="13" t="str">
        <x:v>Prior Authorization</x:v>
      </x:c>
      <x:c r="D16" s="13" t="str">
        <x:v>Email</x:v>
      </x:c>
      <x:c r="E16" s="13" t="str">
        <x:v>High</x:v>
      </x:c>
      <x:c r="F16" s="13" t="str">
        <x:v>2026-08-05 15:00</x:v>
      </x:c>
      <x:c r="G16" s="13" t="str">
        <x:v>Authorization Team</x:v>
      </x:c>
      <x:c r="H16" s="13" t="str">
        <x:v>T. Brooks</x:v>
      </x:c>
      <x:c r="I16" s="13" t="str">
        <x:v>2026-08-06 15:00</x:v>
      </x:c>
      <x:c r="J16" s="13" t="str">
        <x:v>Completed</x:v>
      </x:c>
      <x:c r="K16" s="13" t="n">
        <x:v>2.2</x:v>
      </x:c>
      <x:c r="L16" s="13" t="n">
        <x:v>3.3</x:v>
      </x:c>
      <x:c r="M16" s="13" t="str">
        <x:v>None</x:v>
      </x:c>
      <x:c r="N16" s="13" t="str">
        <x:v>No</x:v>
      </x:c>
      <x:c r="O16" s="13" t="n">
        <x:v>0.94</x:v>
      </x:c>
      <x:c r="P16" s="13" t="str">
        <x:v>2026-08-05 20:42</x:v>
      </x:c>
      <x:c r="Q16" s="13" t="str">
        <x:v>No</x:v>
      </x:c>
    </x:row>
    <x:row r="17">
      <x:c r="A17" s="13" t="str">
        <x:v>WQ-1016</x:v>
      </x:c>
      <x:c r="B17" s="13" t="str">
        <x:v>SYN-5016</x:v>
      </x:c>
      <x:c r="C17" s="13" t="str">
        <x:v>Administrative Patient Message</x:v>
      </x:c>
      <x:c r="D17" s="13" t="str">
        <x:v>Portal</x:v>
      </x:c>
      <x:c r="E17" s="13" t="str">
        <x:v>Standard</x:v>
      </x:c>
      <x:c r="F17" s="13" t="str">
        <x:v>2026-08-09 16:15</x:v>
      </x:c>
      <x:c r="G17" s="13" t="str">
        <x:v>Patient Support</x:v>
      </x:c>
      <x:c r="H17" s="13" t="str">
        <x:v>B. Ward</x:v>
      </x:c>
      <x:c r="I17" s="13" t="str">
        <x:v>2026-08-10 16:15</x:v>
      </x:c>
      <x:c r="J17" s="13" t="str">
        <x:v>Completed</x:v>
      </x:c>
      <x:c r="K17" s="13" t="n">
        <x:v>6.4</x:v>
      </x:c>
      <x:c r="L17" s="13" t="n">
        <x:v>4.7</x:v>
      </x:c>
      <x:c r="M17" s="13" t="str">
        <x:v>None</x:v>
      </x:c>
      <x:c r="N17" s="13" t="str">
        <x:v>No</x:v>
      </x:c>
      <x:c r="O17" s="13" t="n">
        <x:v>0.92</x:v>
      </x:c>
      <x:c r="P17" s="13" t="str">
        <x:v>2026-08-10 01:29</x:v>
      </x:c>
      <x:c r="Q17" s="13" t="str">
        <x:v>No</x:v>
      </x:c>
    </x:row>
    <x:row r="18">
      <x:c r="A18" s="13" t="str">
        <x:v>WQ-1017</x:v>
      </x:c>
      <x:c r="B18" s="13" t="str">
        <x:v>SYN-5017</x:v>
      </x:c>
      <x:c r="C18" s="13" t="str">
        <x:v>Prior Authorization</x:v>
      </x:c>
      <x:c r="D18" s="13" t="str">
        <x:v>Phone</x:v>
      </x:c>
      <x:c r="E18" s="13" t="str">
        <x:v>High</x:v>
      </x:c>
      <x:c r="F18" s="13" t="str">
        <x:v>2026-08-10 11:00</x:v>
      </x:c>
      <x:c r="G18" s="13" t="str">
        <x:v>Authorization Team</x:v>
      </x:c>
      <x:c r="H18" s="13" t="str">
        <x:v>T. Brooks</x:v>
      </x:c>
      <x:c r="I18" s="13" t="str">
        <x:v>2026-08-11 11:00</x:v>
      </x:c>
      <x:c r="J18" s="13" t="str">
        <x:v>Completed</x:v>
      </x:c>
      <x:c r="K18" s="13" t="n">
        <x:v>8.4</x:v>
      </x:c>
      <x:c r="L18" s="13" t="n">
        <x:v>6.1</x:v>
      </x:c>
      <x:c r="M18" s="13" t="str">
        <x:v>None</x:v>
      </x:c>
      <x:c r="N18" s="13" t="str">
        <x:v>No</x:v>
      </x:c>
      <x:c r="O18" s="13" t="n">
        <x:v>0.94</x:v>
      </x:c>
      <x:c r="P18" s="13" t="str">
        <x:v>2026-08-10 13:49</x:v>
      </x:c>
      <x:c r="Q18" s="13" t="str">
        <x:v>No</x:v>
      </x:c>
    </x:row>
    <x:row r="19">
      <x:c r="A19" s="13" t="str">
        <x:v>WQ-1018</x:v>
      </x:c>
      <x:c r="B19" s="13" t="str">
        <x:v>SYN-5018</x:v>
      </x:c>
      <x:c r="C19" s="13" t="str">
        <x:v>Prior Authorization</x:v>
      </x:c>
      <x:c r="D19" s="13" t="str">
        <x:v>Fax</x:v>
      </x:c>
      <x:c r="E19" s="13" t="str">
        <x:v>High</x:v>
      </x:c>
      <x:c r="F19" s="13" t="str">
        <x:v>2026-08-04 13:00</x:v>
      </x:c>
      <x:c r="G19" s="13" t="str">
        <x:v>Authorization Team</x:v>
      </x:c>
      <x:c r="H19" s="13" t="str">
        <x:v>S. Patel</x:v>
      </x:c>
      <x:c r="I19" s="13" t="str">
        <x:v>2026-08-05 13:00</x:v>
      </x:c>
      <x:c r="J19" s="13" t="str">
        <x:v>Completed</x:v>
      </x:c>
      <x:c r="K19" s="13" t="n">
        <x:v>3.4</x:v>
      </x:c>
      <x:c r="L19" s="13" t="n">
        <x:v>4.6</x:v>
      </x:c>
      <x:c r="M19" s="13" t="str">
        <x:v>None</x:v>
      </x:c>
      <x:c r="N19" s="13" t="str">
        <x:v>No</x:v>
      </x:c>
      <x:c r="O19" s="13" t="n">
        <x:v>0.91</x:v>
      </x:c>
      <x:c r="P19" s="13" t="str">
        <x:v>2026-08-04 16:51</x:v>
      </x:c>
      <x:c r="Q19" s="13" t="str">
        <x:v>No</x:v>
      </x:c>
    </x:row>
    <x:row r="20">
      <x:c r="A20" s="13" t="str">
        <x:v>WQ-1019</x:v>
      </x:c>
      <x:c r="B20" s="13" t="str">
        <x:v>SYN-5019</x:v>
      </x:c>
      <x:c r="C20" s="13" t="str">
        <x:v>Medication Workflow — Administrative</x:v>
      </x:c>
      <x:c r="D20" s="13" t="str">
        <x:v>Internal Message</x:v>
      </x:c>
      <x:c r="E20" s="13" t="str">
        <x:v>High</x:v>
      </x:c>
      <x:c r="F20" s="13" t="str">
        <x:v>2026-08-10 15:45</x:v>
      </x:c>
      <x:c r="G20" s="13" t="str">
        <x:v>Clinical Support</x:v>
      </x:c>
      <x:c r="H20" s="13" t="str">
        <x:v>N. King</x:v>
      </x:c>
      <x:c r="I20" s="13" t="str">
        <x:v>2026-08-10 15:45</x:v>
      </x:c>
      <x:c r="J20" s="13" t="str">
        <x:v>Completed</x:v>
      </x:c>
      <x:c r="K20" s="13" t="n">
        <x:v>5.3</x:v>
      </x:c>
      <x:c r="L20" s="13" t="n">
        <x:v>2.8</x:v>
      </x:c>
      <x:c r="M20" s="13" t="str">
        <x:v>None</x:v>
      </x:c>
      <x:c r="N20" s="13" t="str">
        <x:v>No</x:v>
      </x:c>
      <x:c r="O20" s="13" t="n">
        <x:v>0.89</x:v>
      </x:c>
      <x:c r="P20" s="13" t="str">
        <x:v>2026-08-10 18:04</x:v>
      </x:c>
      <x:c r="Q20" s="13" t="str">
        <x:v>No</x:v>
      </x:c>
    </x:row>
    <x:row r="21">
      <x:c r="A21" s="13" t="str">
        <x:v>WQ-1020</x:v>
      </x:c>
      <x:c r="B21" s="13" t="str">
        <x:v>SYN-5020</x:v>
      </x:c>
      <x:c r="C21" s="13" t="str">
        <x:v>Prior Authorization</x:v>
      </x:c>
      <x:c r="D21" s="13" t="str">
        <x:v>Email</x:v>
      </x:c>
      <x:c r="E21" s="13" t="str">
        <x:v>High</x:v>
      </x:c>
      <x:c r="F21" s="13" t="str">
        <x:v>2026-08-04 14:30</x:v>
      </x:c>
      <x:c r="G21" s="13" t="str">
        <x:v>Authorization Team</x:v>
      </x:c>
      <x:c r="H21" s="13" t="str">
        <x:v>T. Brooks</x:v>
      </x:c>
      <x:c r="I21" s="13" t="str">
        <x:v>2026-08-05 14:30</x:v>
      </x:c>
      <x:c r="J21" s="13" t="str">
        <x:v>Completed</x:v>
      </x:c>
      <x:c r="K21" s="13" t="n">
        <x:v>3.1</x:v>
      </x:c>
      <x:c r="L21" s="13" t="n">
        <x:v>5.6</x:v>
      </x:c>
      <x:c r="M21" s="13" t="str">
        <x:v>None</x:v>
      </x:c>
      <x:c r="N21" s="13" t="str">
        <x:v>No</x:v>
      </x:c>
      <x:c r="O21" s="13" t="n">
        <x:v>0.89</x:v>
      </x:c>
      <x:c r="P21" s="13" t="str">
        <x:v>2026-08-04 22:46</x:v>
      </x:c>
      <x:c r="Q21" s="13" t="str">
        <x:v>No</x:v>
      </x:c>
    </x:row>
    <x:row r="22">
      <x:c r="A22" s="13" t="str">
        <x:v>WQ-1021</x:v>
      </x:c>
      <x:c r="B22" s="13" t="str">
        <x:v>SYN-5021</x:v>
      </x:c>
      <x:c r="C22" s="13" t="str">
        <x:v>Administrative Patient Message</x:v>
      </x:c>
      <x:c r="D22" s="13" t="str">
        <x:v>Portal</x:v>
      </x:c>
      <x:c r="E22" s="13" t="str">
        <x:v>Standard</x:v>
      </x:c>
      <x:c r="F22" s="13" t="str">
        <x:v>2026-08-08 12:45</x:v>
      </x:c>
      <x:c r="G22" s="13" t="str">
        <x:v>Patient Support</x:v>
      </x:c>
      <x:c r="H22" s="13" t="str">
        <x:v>B. Ward</x:v>
      </x:c>
      <x:c r="I22" s="13" t="str">
        <x:v>2026-08-09 12:45</x:v>
      </x:c>
      <x:c r="J22" s="13" t="str">
        <x:v>Completed</x:v>
      </x:c>
      <x:c r="K22" s="13" t="n">
        <x:v>30.1</x:v>
      </x:c>
      <x:c r="L22" s="13" t="n">
        <x:v>5.7</x:v>
      </x:c>
      <x:c r="M22" s="13" t="str">
        <x:v>None</x:v>
      </x:c>
      <x:c r="N22" s="13" t="str">
        <x:v>No</x:v>
      </x:c>
      <x:c r="O22" s="13" t="n">
        <x:v>0.98</x:v>
      </x:c>
      <x:c r="P22" s="13" t="str">
        <x:v>2026-08-08 22:19</x:v>
      </x:c>
      <x:c r="Q22" s="13" t="str">
        <x:v>No</x:v>
      </x:c>
    </x:row>
    <x:row r="23">
      <x:c r="A23" s="13" t="str">
        <x:v>WQ-1022</x:v>
      </x:c>
      <x:c r="B23" s="13" t="str">
        <x:v>SYN-5022</x:v>
      </x:c>
      <x:c r="C23" s="13" t="str">
        <x:v>Referral</x:v>
      </x:c>
      <x:c r="D23" s="13" t="str">
        <x:v>Phone</x:v>
      </x:c>
      <x:c r="E23" s="13" t="str">
        <x:v>Standard</x:v>
      </x:c>
      <x:c r="F23" s="13" t="str">
        <x:v>2026-08-05 11:15</x:v>
      </x:c>
      <x:c r="G23" s="13" t="str">
        <x:v>Referral Team</x:v>
      </x:c>
      <x:c r="H23" s="13" t="str">
        <x:v>M. Cole</x:v>
      </x:c>
      <x:c r="I23" s="13" t="str">
        <x:v>2026-08-07 11:15</x:v>
      </x:c>
      <x:c r="J23" s="13" t="str">
        <x:v>Completed</x:v>
      </x:c>
      <x:c r="K23" s="13" t="n">
        <x:v>12.7</x:v>
      </x:c>
      <x:c r="L23" s="13" t="n">
        <x:v>5.3</x:v>
      </x:c>
      <x:c r="M23" s="13" t="str">
        <x:v>None</x:v>
      </x:c>
      <x:c r="N23" s="13" t="str">
        <x:v>No</x:v>
      </x:c>
      <x:c r="O23" s="13" t="n">
        <x:v>0.93</x:v>
      </x:c>
      <x:c r="P23" s="13" t="str">
        <x:v>2026-08-05 16:52</x:v>
      </x:c>
      <x:c r="Q23" s="13" t="str">
        <x:v>No</x:v>
      </x:c>
    </x:row>
    <x:row r="24">
      <x:c r="A24" s="13" t="str">
        <x:v>WQ-1023</x:v>
      </x:c>
      <x:c r="B24" s="13" t="str">
        <x:v>SYN-5023</x:v>
      </x:c>
      <x:c r="C24" s="13" t="str">
        <x:v>Referral</x:v>
      </x:c>
      <x:c r="D24" s="13" t="str">
        <x:v>Fax</x:v>
      </x:c>
      <x:c r="E24" s="13" t="str">
        <x:v>Standard</x:v>
      </x:c>
      <x:c r="F24" s="13" t="str">
        <x:v>2026-08-15 12:45</x:v>
      </x:c>
      <x:c r="G24" s="13" t="str">
        <x:v>Referral Team</x:v>
      </x:c>
      <x:c r="H24" s="13" t="str">
        <x:v>M. Cole</x:v>
      </x:c>
      <x:c r="I24" s="13" t="str">
        <x:v>2026-08-17 12:45</x:v>
      </x:c>
      <x:c r="J24" s="13" t="str">
        <x:v>Completed</x:v>
      </x:c>
      <x:c r="K24" s="13" t="n">
        <x:v>2.6</x:v>
      </x:c>
      <x:c r="L24" s="13" t="n">
        <x:v>3.7</x:v>
      </x:c>
      <x:c r="M24" s="13" t="str">
        <x:v>None</x:v>
      </x:c>
      <x:c r="N24" s="13" t="str">
        <x:v>No</x:v>
      </x:c>
      <x:c r="O24" s="13" t="n">
        <x:v>0.96</x:v>
      </x:c>
      <x:c r="P24" s="13" t="str">
        <x:v>2026-08-16 03:29</x:v>
      </x:c>
      <x:c r="Q24" s="13" t="str">
        <x:v>No</x:v>
      </x:c>
    </x:row>
    <x:row r="25">
      <x:c r="A25" s="13" t="str">
        <x:v>WQ-1024</x:v>
      </x:c>
      <x:c r="B25" s="13" t="str">
        <x:v>SYN-5024</x:v>
      </x:c>
      <x:c r="C25" s="13" t="str">
        <x:v>Referral</x:v>
      </x:c>
      <x:c r="D25" s="13" t="str">
        <x:v>Internal Message</x:v>
      </x:c>
      <x:c r="E25" s="13" t="str">
        <x:v>Standard</x:v>
      </x:c>
      <x:c r="F25" s="13" t="str">
        <x:v>2026-08-26 13:00</x:v>
      </x:c>
      <x:c r="G25" s="13" t="str">
        <x:v>Referral Team</x:v>
      </x:c>
      <x:c r="H25" s="13" t="str">
        <x:v>R. Allen</x:v>
      </x:c>
      <x:c r="I25" s="13" t="str">
        <x:v>2026-08-28 13:00</x:v>
      </x:c>
      <x:c r="J25" s="13" t="str">
        <x:v>Completed</x:v>
      </x:c>
      <x:c r="K25" s="13" t="n">
        <x:v>1.3</x:v>
      </x:c>
      <x:c r="L25" s="13" t="n">
        <x:v>7</x:v>
      </x:c>
      <x:c r="M25" s="13" t="str">
        <x:v>Human Review</x:v>
      </x:c>
      <x:c r="N25" s="13" t="str">
        <x:v>Yes</x:v>
      </x:c>
      <x:c r="O25" s="13" t="n">
        <x:v>0.82</x:v>
      </x:c>
      <x:c r="P25" s="13" t="str">
        <x:v>2026-08-27 02:10</x:v>
      </x:c>
      <x:c r="Q25" s="13" t="str">
        <x:v>No</x:v>
      </x:c>
    </x:row>
    <x:row r="26">
      <x:c r="A26" s="13" t="str">
        <x:v>WQ-1025</x:v>
      </x:c>
      <x:c r="B26" s="13" t="str">
        <x:v>SYN-5025</x:v>
      </x:c>
      <x:c r="C26" s="13" t="str">
        <x:v>Scheduling Follow-up</x:v>
      </x:c>
      <x:c r="D26" s="13" t="str">
        <x:v>Email</x:v>
      </x:c>
      <x:c r="E26" s="13" t="str">
        <x:v>Standard</x:v>
      </x:c>
      <x:c r="F26" s="13" t="str">
        <x:v>2026-08-05 09:15</x:v>
      </x:c>
      <x:c r="G26" s="13" t="str">
        <x:v>Scheduling</x:v>
      </x:c>
      <x:c r="H26" s="13" t="str">
        <x:v>J. Green</x:v>
      </x:c>
      <x:c r="I26" s="13" t="str">
        <x:v>2026-08-06 09:15</x:v>
      </x:c>
      <x:c r="J26" s="13" t="str">
        <x:v>Completed</x:v>
      </x:c>
      <x:c r="K26" s="13" t="n">
        <x:v>8.3</x:v>
      </x:c>
      <x:c r="L26" s="13" t="n">
        <x:v>4.9</x:v>
      </x:c>
      <x:c r="M26" s="13" t="str">
        <x:v>None</x:v>
      </x:c>
      <x:c r="N26" s="13" t="str">
        <x:v>No</x:v>
      </x:c>
      <x:c r="O26" s="13" t="n">
        <x:v>0.98</x:v>
      </x:c>
      <x:c r="P26" s="13" t="str">
        <x:v>2026-08-05 20:27</x:v>
      </x:c>
      <x:c r="Q26" s="13" t="str">
        <x:v>No</x:v>
      </x:c>
    </x:row>
    <x:row r="27">
      <x:c r="A27" s="13" t="str">
        <x:v>WQ-1026</x:v>
      </x:c>
      <x:c r="B27" s="13" t="str">
        <x:v>SYN-5026</x:v>
      </x:c>
      <x:c r="C27" s="13" t="str">
        <x:v>Documentation Follow-up</x:v>
      </x:c>
      <x:c r="D27" s="13" t="str">
        <x:v>Portal</x:v>
      </x:c>
      <x:c r="E27" s="13" t="str">
        <x:v>Standard</x:v>
      </x:c>
      <x:c r="F27" s="13" t="str">
        <x:v>2026-08-11 11:30</x:v>
      </x:c>
      <x:c r="G27" s="13" t="str">
        <x:v>Clinical Support</x:v>
      </x:c>
      <x:c r="H27" s="13" t="str">
        <x:v>N. King</x:v>
      </x:c>
      <x:c r="I27" s="13" t="str">
        <x:v>2026-08-13 11:30</x:v>
      </x:c>
      <x:c r="J27" s="13" t="str">
        <x:v>Completed</x:v>
      </x:c>
      <x:c r="K27" s="13" t="n">
        <x:v>6.7</x:v>
      </x:c>
      <x:c r="L27" s="13" t="n">
        <x:v>4.6</x:v>
      </x:c>
      <x:c r="M27" s="13" t="str">
        <x:v>None</x:v>
      </x:c>
      <x:c r="N27" s="13" t="str">
        <x:v>No</x:v>
      </x:c>
      <x:c r="O27" s="13" t="n">
        <x:v>0.92</x:v>
      </x:c>
      <x:c r="P27" s="13" t="str">
        <x:v>2026-08-12 09:56</x:v>
      </x:c>
      <x:c r="Q27" s="13" t="str">
        <x:v>No</x:v>
      </x:c>
    </x:row>
    <x:row r="28">
      <x:c r="A28" s="13" t="str">
        <x:v>WQ-1027</x:v>
      </x:c>
      <x:c r="B28" s="13" t="str">
        <x:v>SYN-5027</x:v>
      </x:c>
      <x:c r="C28" s="13" t="str">
        <x:v>Prior Authorization</x:v>
      </x:c>
      <x:c r="D28" s="13" t="str">
        <x:v>Phone</x:v>
      </x:c>
      <x:c r="E28" s="13" t="str">
        <x:v>High</x:v>
      </x:c>
      <x:c r="F28" s="13" t="str">
        <x:v>2026-08-03 15:00</x:v>
      </x:c>
      <x:c r="G28" s="13" t="str">
        <x:v>Authorization Team</x:v>
      </x:c>
      <x:c r="H28" s="13" t="str">
        <x:v>S. Patel</x:v>
      </x:c>
      <x:c r="I28" s="13" t="str">
        <x:v>2026-08-04 15:00</x:v>
      </x:c>
      <x:c r="J28" s="13" t="str">
        <x:v>Completed</x:v>
      </x:c>
      <x:c r="K28" s="13" t="n">
        <x:v>12.4</x:v>
      </x:c>
      <x:c r="L28" s="13" t="n">
        <x:v>5.2</x:v>
      </x:c>
      <x:c r="M28" s="13" t="str">
        <x:v>Human Review</x:v>
      </x:c>
      <x:c r="N28" s="13" t="str">
        <x:v>Yes</x:v>
      </x:c>
      <x:c r="O28" s="13" t="n">
        <x:v>0.68</x:v>
      </x:c>
      <x:c r="P28" s="13" t="str">
        <x:v>2026-08-03 19:12</x:v>
      </x:c>
      <x:c r="Q28" s="13" t="str">
        <x:v>No</x:v>
      </x:c>
    </x:row>
    <x:row r="29">
      <x:c r="A29" s="13" t="str">
        <x:v>WQ-1028</x:v>
      </x:c>
      <x:c r="B29" s="13" t="str">
        <x:v>SYN-5028</x:v>
      </x:c>
      <x:c r="C29" s="13" t="str">
        <x:v>Billing Question</x:v>
      </x:c>
      <x:c r="D29" s="13" t="str">
        <x:v>Fax</x:v>
      </x:c>
      <x:c r="E29" s="13" t="str">
        <x:v>Standard</x:v>
      </x:c>
      <x:c r="F29" s="13" t="str">
        <x:v>2026-08-22 16:00</x:v>
      </x:c>
      <x:c r="G29" s="13" t="str">
        <x:v>Billing Support</x:v>
      </x:c>
      <x:c r="H29" s="13" t="str">
        <x:v>D. Hill</x:v>
      </x:c>
      <x:c r="I29" s="13" t="str">
        <x:v>2026-08-24 16:00</x:v>
      </x:c>
      <x:c r="J29" s="13" t="str">
        <x:v>Completed</x:v>
      </x:c>
      <x:c r="K29" s="13" t="n">
        <x:v>13.2</x:v>
      </x:c>
      <x:c r="L29" s="13" t="n">
        <x:v>3.8</x:v>
      </x:c>
      <x:c r="M29" s="13" t="str">
        <x:v>None</x:v>
      </x:c>
      <x:c r="N29" s="13" t="str">
        <x:v>No</x:v>
      </x:c>
      <x:c r="O29" s="13" t="n">
        <x:v>0.94</x:v>
      </x:c>
      <x:c r="P29" s="13" t="str">
        <x:v>2026-08-22 20:57</x:v>
      </x:c>
      <x:c r="Q29" s="13" t="str">
        <x:v>No</x:v>
      </x:c>
    </x:row>
    <x:row r="30">
      <x:c r="A30" s="13" t="str">
        <x:v>WQ-1029</x:v>
      </x:c>
      <x:c r="B30" s="13" t="str">
        <x:v>SYN-5029</x:v>
      </x:c>
      <x:c r="C30" s="13" t="str">
        <x:v>Prior Authorization</x:v>
      </x:c>
      <x:c r="D30" s="13" t="str">
        <x:v>Internal Message</x:v>
      </x:c>
      <x:c r="E30" s="13" t="str">
        <x:v>High</x:v>
      </x:c>
      <x:c r="F30" s="13" t="str">
        <x:v>2026-08-06 16:15</x:v>
      </x:c>
      <x:c r="G30" s="13" t="str">
        <x:v>Authorization Team</x:v>
      </x:c>
      <x:c r="H30" s="13" t="str">
        <x:v>S. Patel</x:v>
      </x:c>
      <x:c r="I30" s="13" t="str">
        <x:v>2026-08-07 16:15</x:v>
      </x:c>
      <x:c r="J30" s="13" t="str">
        <x:v>Completed</x:v>
      </x:c>
      <x:c r="K30" s="13" t="n">
        <x:v>3.2</x:v>
      </x:c>
      <x:c r="L30" s="13" t="n">
        <x:v>4</x:v>
      </x:c>
      <x:c r="M30" s="13" t="str">
        <x:v>None</x:v>
      </x:c>
      <x:c r="N30" s="13" t="str">
        <x:v>No</x:v>
      </x:c>
      <x:c r="O30" s="13" t="n">
        <x:v>0.95</x:v>
      </x:c>
      <x:c r="P30" s="13" t="str">
        <x:v>2026-08-07 01:05</x:v>
      </x:c>
      <x:c r="Q30" s="13" t="str">
        <x:v>No</x:v>
      </x:c>
    </x:row>
    <x:row r="31">
      <x:c r="A31" s="13" t="str">
        <x:v>WQ-1030</x:v>
      </x:c>
      <x:c r="B31" s="13" t="str">
        <x:v>SYN-5030</x:v>
      </x:c>
      <x:c r="C31" s="13" t="str">
        <x:v>Referral</x:v>
      </x:c>
      <x:c r="D31" s="13" t="str">
        <x:v>Email</x:v>
      </x:c>
      <x:c r="E31" s="13" t="str">
        <x:v>Standard</x:v>
      </x:c>
      <x:c r="F31" s="13" t="str">
        <x:v>2026-08-05 14:30</x:v>
      </x:c>
      <x:c r="G31" s="13" t="str">
        <x:v>Referral Team</x:v>
      </x:c>
      <x:c r="H31" s="13" t="str">
        <x:v>M. Cole</x:v>
      </x:c>
      <x:c r="I31" s="13" t="str">
        <x:v>2026-08-07 14:30</x:v>
      </x:c>
      <x:c r="J31" s="13" t="str">
        <x:v>Completed</x:v>
      </x:c>
      <x:c r="K31" s="13" t="n">
        <x:v>2.7</x:v>
      </x:c>
      <x:c r="L31" s="13" t="n">
        <x:v>3.9</x:v>
      </x:c>
      <x:c r="M31" s="13" t="str">
        <x:v>Human Review</x:v>
      </x:c>
      <x:c r="N31" s="13" t="str">
        <x:v>Yes</x:v>
      </x:c>
      <x:c r="O31" s="13" t="n">
        <x:v>0.65</x:v>
      </x:c>
      <x:c r="P31" s="13" t="str">
        <x:v>2026-08-06 02:13</x:v>
      </x:c>
      <x:c r="Q31" s="13" t="str">
        <x:v>No</x:v>
      </x:c>
    </x:row>
    <x:row r="32">
      <x:c r="A32" s="13" t="str">
        <x:v>WQ-1031</x:v>
      </x:c>
      <x:c r="B32" s="13" t="str">
        <x:v>SYN-5031</x:v>
      </x:c>
      <x:c r="C32" s="13" t="str">
        <x:v>Administrative Patient Message</x:v>
      </x:c>
      <x:c r="D32" s="13" t="str">
        <x:v>Portal</x:v>
      </x:c>
      <x:c r="E32" s="13" t="str">
        <x:v>Standard</x:v>
      </x:c>
      <x:c r="F32" s="13" t="str">
        <x:v>2026-08-20 08:00</x:v>
      </x:c>
      <x:c r="G32" s="13" t="str">
        <x:v>Patient Support</x:v>
      </x:c>
      <x:c r="H32" s="13" t="str">
        <x:v>E. Scott</x:v>
      </x:c>
      <x:c r="I32" s="13" t="str">
        <x:v>2026-08-21 08:00</x:v>
      </x:c>
      <x:c r="J32" s="13" t="str">
        <x:v>Completed</x:v>
      </x:c>
      <x:c r="K32" s="13" t="n">
        <x:v>11.8</x:v>
      </x:c>
      <x:c r="L32" s="13" t="n">
        <x:v>4</x:v>
      </x:c>
      <x:c r="M32" s="13" t="str">
        <x:v>Human Review</x:v>
      </x:c>
      <x:c r="N32" s="13" t="str">
        <x:v>Yes</x:v>
      </x:c>
      <x:c r="O32" s="13" t="n">
        <x:v>0.82</x:v>
      </x:c>
      <x:c r="P32" s="13" t="str">
        <x:v>2026-08-20 11:47</x:v>
      </x:c>
      <x:c r="Q32" s="13" t="str">
        <x:v>No</x:v>
      </x:c>
    </x:row>
    <x:row r="33">
      <x:c r="A33" s="13" t="str">
        <x:v>WQ-1032</x:v>
      </x:c>
      <x:c r="B33" s="13" t="str">
        <x:v>SYN-5032</x:v>
      </x:c>
      <x:c r="C33" s="13" t="str">
        <x:v>Billing Question</x:v>
      </x:c>
      <x:c r="D33" s="13" t="str">
        <x:v>Phone</x:v>
      </x:c>
      <x:c r="E33" s="13" t="str">
        <x:v>Standard</x:v>
      </x:c>
      <x:c r="F33" s="13" t="str">
        <x:v>2026-08-14 08:30</x:v>
      </x:c>
      <x:c r="G33" s="13" t="str">
        <x:v>Billing Support</x:v>
      </x:c>
      <x:c r="H33" s="13" t="str">
        <x:v>D. Hill</x:v>
      </x:c>
      <x:c r="I33" s="13" t="str">
        <x:v>2026-08-16 08:30</x:v>
      </x:c>
      <x:c r="J33" s="13" t="str">
        <x:v>Completed</x:v>
      </x:c>
      <x:c r="K33" s="13" t="n">
        <x:v>5.3</x:v>
      </x:c>
      <x:c r="L33" s="13" t="n">
        <x:v>4.2</x:v>
      </x:c>
      <x:c r="M33" s="13" t="str">
        <x:v>None</x:v>
      </x:c>
      <x:c r="N33" s="13" t="str">
        <x:v>No</x:v>
      </x:c>
      <x:c r="O33" s="13" t="n">
        <x:v>0.91</x:v>
      </x:c>
      <x:c r="P33" s="13" t="str">
        <x:v>2026-08-14 22:49</x:v>
      </x:c>
      <x:c r="Q33" s="13" t="str">
        <x:v>No</x:v>
      </x:c>
    </x:row>
    <x:row r="34">
      <x:c r="A34" s="13" t="str">
        <x:v>WQ-1033</x:v>
      </x:c>
      <x:c r="B34" s="13" t="str">
        <x:v>SYN-5033</x:v>
      </x:c>
      <x:c r="C34" s="13" t="str">
        <x:v>Administrative Patient Message</x:v>
      </x:c>
      <x:c r="D34" s="13" t="str">
        <x:v>Fax</x:v>
      </x:c>
      <x:c r="E34" s="13" t="str">
        <x:v>Standard</x:v>
      </x:c>
      <x:c r="F34" s="13" t="str">
        <x:v>2026-08-22 10:15</x:v>
      </x:c>
      <x:c r="G34" s="13" t="str">
        <x:v>Patient Support</x:v>
      </x:c>
      <x:c r="H34" s="13" t="str">
        <x:v>E. Scott</x:v>
      </x:c>
      <x:c r="I34" s="13" t="str">
        <x:v>2026-08-23 10:15</x:v>
      </x:c>
      <x:c r="J34" s="13" t="str">
        <x:v>Completed</x:v>
      </x:c>
      <x:c r="K34" s="13" t="n">
        <x:v>12.4</x:v>
      </x:c>
      <x:c r="L34" s="13" t="n">
        <x:v>6.1</x:v>
      </x:c>
      <x:c r="M34" s="13" t="str">
        <x:v>Manual Escalation</x:v>
      </x:c>
      <x:c r="N34" s="13" t="str">
        <x:v>No</x:v>
      </x:c>
      <x:c r="O34" s="13" t="n">
        <x:v>0.99</x:v>
      </x:c>
      <x:c r="P34" s="13" t="str">
        <x:v>2026-08-22 16:54</x:v>
      </x:c>
      <x:c r="Q34" s="13" t="str">
        <x:v>No</x:v>
      </x:c>
    </x:row>
    <x:row r="35">
      <x:c r="A35" s="13" t="str">
        <x:v>WQ-1034</x:v>
      </x:c>
      <x:c r="B35" s="13" t="str">
        <x:v>SYN-5034</x:v>
      </x:c>
      <x:c r="C35" s="13" t="str">
        <x:v>Administrative Patient Message</x:v>
      </x:c>
      <x:c r="D35" s="13" t="str">
        <x:v>Internal Message</x:v>
      </x:c>
      <x:c r="E35" s="13" t="str">
        <x:v>Standard</x:v>
      </x:c>
      <x:c r="F35" s="13" t="str">
        <x:v>2026-08-28 11:30</x:v>
      </x:c>
      <x:c r="G35" s="13" t="str">
        <x:v>Patient Support</x:v>
      </x:c>
      <x:c r="H35" s="13" t="str">
        <x:v>B. Ward</x:v>
      </x:c>
      <x:c r="I35" s="13" t="str">
        <x:v>2026-08-29 11:30</x:v>
      </x:c>
      <x:c r="J35" s="13" t="str">
        <x:v>Completed</x:v>
      </x:c>
      <x:c r="K35" s="13" t="n">
        <x:v>12.3</x:v>
      </x:c>
      <x:c r="L35" s="13" t="n">
        <x:v>4.8</x:v>
      </x:c>
      <x:c r="M35" s="13" t="str">
        <x:v>None</x:v>
      </x:c>
      <x:c r="N35" s="13" t="str">
        <x:v>No</x:v>
      </x:c>
      <x:c r="O35" s="13" t="n">
        <x:v>0.96</x:v>
      </x:c>
      <x:c r="P35" s="13" t="str">
        <x:v>2026-08-29 01:31</x:v>
      </x:c>
      <x:c r="Q35" s="13" t="str">
        <x:v>No</x:v>
      </x:c>
    </x:row>
    <x:row r="36">
      <x:c r="A36" s="13" t="str">
        <x:v>WQ-1035</x:v>
      </x:c>
      <x:c r="B36" s="13" t="str">
        <x:v>SYN-5035</x:v>
      </x:c>
      <x:c r="C36" s="13" t="str">
        <x:v>Records Request</x:v>
      </x:c>
      <x:c r="D36" s="13" t="str">
        <x:v>Email</x:v>
      </x:c>
      <x:c r="E36" s="13" t="str">
        <x:v>Standard</x:v>
      </x:c>
      <x:c r="F36" s="13" t="str">
        <x:v>2026-08-09 15:30</x:v>
      </x:c>
      <x:c r="G36" s="13" t="str">
        <x:v>Records</x:v>
      </x:c>
      <x:c r="H36" s="13" t="str">
        <x:v>K. Lewis</x:v>
      </x:c>
      <x:c r="I36" s="13" t="str">
        <x:v>2026-08-12 15:30</x:v>
      </x:c>
      <x:c r="J36" s="13" t="str">
        <x:v>Completed</x:v>
      </x:c>
      <x:c r="K36" s="13" t="n">
        <x:v>3.5</x:v>
      </x:c>
      <x:c r="L36" s="13" t="n">
        <x:v>4</x:v>
      </x:c>
      <x:c r="M36" s="13" t="str">
        <x:v>None</x:v>
      </x:c>
      <x:c r="N36" s="13" t="str">
        <x:v>No</x:v>
      </x:c>
      <x:c r="O36" s="13" t="n">
        <x:v>0.97</x:v>
      </x:c>
      <x:c r="P36" s="13" t="str">
        <x:v>2026-08-10 01:51</x:v>
      </x:c>
      <x:c r="Q36" s="13" t="str">
        <x:v>No</x:v>
      </x:c>
    </x:row>
    <x:row r="37">
      <x:c r="A37" s="13" t="str">
        <x:v>WQ-1036</x:v>
      </x:c>
      <x:c r="B37" s="13" t="str">
        <x:v>SYN-5036</x:v>
      </x:c>
      <x:c r="C37" s="13" t="str">
        <x:v>Prior Authorization</x:v>
      </x:c>
      <x:c r="D37" s="13" t="str">
        <x:v>Portal</x:v>
      </x:c>
      <x:c r="E37" s="13" t="str">
        <x:v>High</x:v>
      </x:c>
      <x:c r="F37" s="13" t="str">
        <x:v>2026-08-27 12:30</x:v>
      </x:c>
      <x:c r="G37" s="13" t="str">
        <x:v>Authorization Team</x:v>
      </x:c>
      <x:c r="H37" s="13" t="str">
        <x:v>S. Patel</x:v>
      </x:c>
      <x:c r="I37" s="13" t="str">
        <x:v>2026-08-28 12:30</x:v>
      </x:c>
      <x:c r="J37" s="13" t="str">
        <x:v>Completed</x:v>
      </x:c>
      <x:c r="K37" s="13" t="n">
        <x:v>13.2</x:v>
      </x:c>
      <x:c r="L37" s="13" t="n">
        <x:v>3.6</x:v>
      </x:c>
      <x:c r="M37" s="13" t="str">
        <x:v>None</x:v>
      </x:c>
      <x:c r="N37" s="13" t="str">
        <x:v>No</x:v>
      </x:c>
      <x:c r="O37" s="13" t="n">
        <x:v>0.92</x:v>
      </x:c>
      <x:c r="P37" s="13" t="str">
        <x:v>2026-08-27 16:06</x:v>
      </x:c>
      <x:c r="Q37" s="13" t="str">
        <x:v>No</x:v>
      </x:c>
    </x:row>
    <x:row r="38">
      <x:c r="A38" s="13" t="str">
        <x:v>WQ-1037</x:v>
      </x:c>
      <x:c r="B38" s="13" t="str">
        <x:v>SYN-5037</x:v>
      </x:c>
      <x:c r="C38" s="13" t="str">
        <x:v>Billing Question</x:v>
      </x:c>
      <x:c r="D38" s="13" t="str">
        <x:v>Phone</x:v>
      </x:c>
      <x:c r="E38" s="13" t="str">
        <x:v>Standard</x:v>
      </x:c>
      <x:c r="F38" s="13" t="str">
        <x:v>2026-08-08 12:00</x:v>
      </x:c>
      <x:c r="G38" s="13" t="str">
        <x:v>Billing Support</x:v>
      </x:c>
      <x:c r="H38" s="13" t="str">
        <x:v>P. Young</x:v>
      </x:c>
      <x:c r="I38" s="13" t="str">
        <x:v>2026-08-10 12:00</x:v>
      </x:c>
      <x:c r="J38" s="13" t="str">
        <x:v>Completed</x:v>
      </x:c>
      <x:c r="K38" s="13" t="n">
        <x:v>6.4</x:v>
      </x:c>
      <x:c r="L38" s="13" t="n">
        <x:v>5</x:v>
      </x:c>
      <x:c r="M38" s="13" t="str">
        <x:v>None</x:v>
      </x:c>
      <x:c r="N38" s="13" t="str">
        <x:v>No</x:v>
      </x:c>
      <x:c r="O38" s="13" t="n">
        <x:v>0.93</x:v>
      </x:c>
      <x:c r="P38" s="13" t="str">
        <x:v>2026-08-10 16:42</x:v>
      </x:c>
      <x:c r="Q38" s="13" t="str">
        <x:v>Yes</x:v>
      </x:c>
    </x:row>
    <x:row r="39">
      <x:c r="A39" s="13" t="str">
        <x:v>WQ-1038</x:v>
      </x:c>
      <x:c r="B39" s="13" t="str">
        <x:v>SYN-5038</x:v>
      </x:c>
      <x:c r="C39" s="13" t="str">
        <x:v>Referral</x:v>
      </x:c>
      <x:c r="D39" s="13" t="str">
        <x:v>Fax</x:v>
      </x:c>
      <x:c r="E39" s="13" t="str">
        <x:v>Standard</x:v>
      </x:c>
      <x:c r="F39" s="13" t="str">
        <x:v>2026-08-25 14:00</x:v>
      </x:c>
      <x:c r="G39" s="13" t="str">
        <x:v>Referral Team</x:v>
      </x:c>
      <x:c r="H39" s="13" t="str">
        <x:v>R. Allen</x:v>
      </x:c>
      <x:c r="I39" s="13" t="str">
        <x:v>2026-08-27 14:00</x:v>
      </x:c>
      <x:c r="J39" s="13" t="str">
        <x:v>Completed</x:v>
      </x:c>
      <x:c r="K39" s="13" t="n">
        <x:v>5.4</x:v>
      </x:c>
      <x:c r="L39" s="13" t="n">
        <x:v>4.5</x:v>
      </x:c>
      <x:c r="M39" s="13" t="str">
        <x:v>None</x:v>
      </x:c>
      <x:c r="N39" s="13" t="str">
        <x:v>No</x:v>
      </x:c>
      <x:c r="O39" s="13" t="n">
        <x:v>0.97</x:v>
      </x:c>
      <x:c r="P39" s="13" t="str">
        <x:v>2026-08-25 17:32</x:v>
      </x:c>
      <x:c r="Q39" s="13" t="str">
        <x:v>No</x:v>
      </x:c>
    </x:row>
    <x:row r="40">
      <x:c r="A40" s="13" t="str">
        <x:v>WQ-1039</x:v>
      </x:c>
      <x:c r="B40" s="13" t="str">
        <x:v>SYN-5039</x:v>
      </x:c>
      <x:c r="C40" s="13" t="str">
        <x:v>Documentation Follow-up</x:v>
      </x:c>
      <x:c r="D40" s="13" t="str">
        <x:v>Internal Message</x:v>
      </x:c>
      <x:c r="E40" s="13" t="str">
        <x:v>Standard</x:v>
      </x:c>
      <x:c r="F40" s="13" t="str">
        <x:v>2026-08-22 13:00</x:v>
      </x:c>
      <x:c r="G40" s="13" t="str">
        <x:v>Clinical Support</x:v>
      </x:c>
      <x:c r="H40" s="13" t="str">
        <x:v>N. King</x:v>
      </x:c>
      <x:c r="I40" s="13" t="str">
        <x:v>2026-08-24 13:00</x:v>
      </x:c>
      <x:c r="J40" s="13" t="str">
        <x:v>Completed</x:v>
      </x:c>
      <x:c r="K40" s="13" t="n">
        <x:v>9.5</x:v>
      </x:c>
      <x:c r="L40" s="13" t="n">
        <x:v>3.8</x:v>
      </x:c>
      <x:c r="M40" s="13" t="str">
        <x:v>None</x:v>
      </x:c>
      <x:c r="N40" s="13" t="str">
        <x:v>No</x:v>
      </x:c>
      <x:c r="O40" s="13" t="n">
        <x:v>0.91</x:v>
      </x:c>
      <x:c r="P40" s="13" t="str">
        <x:v>2026-08-23 03:11</x:v>
      </x:c>
      <x:c r="Q40" s="13" t="str">
        <x:v>No</x:v>
      </x:c>
    </x:row>
    <x:row r="41">
      <x:c r="A41" s="13" t="str">
        <x:v>WQ-1040</x:v>
      </x:c>
      <x:c r="B41" s="13" t="str">
        <x:v>SYN-5040</x:v>
      </x:c>
      <x:c r="C41" s="13" t="str">
        <x:v>Records Request</x:v>
      </x:c>
      <x:c r="D41" s="13" t="str">
        <x:v>Email</x:v>
      </x:c>
      <x:c r="E41" s="13" t="str">
        <x:v>Standard</x:v>
      </x:c>
      <x:c r="F41" s="13" t="str">
        <x:v>2026-08-16 14:15</x:v>
      </x:c>
      <x:c r="G41" s="13" t="str">
        <x:v>Records</x:v>
      </x:c>
      <x:c r="H41" s="13" t="str">
        <x:v>K. Lewis</x:v>
      </x:c>
      <x:c r="I41" s="13" t="str">
        <x:v>2026-08-19 14:15</x:v>
      </x:c>
      <x:c r="J41" s="13" t="str">
        <x:v>Completed</x:v>
      </x:c>
      <x:c r="K41" s="13" t="n">
        <x:v>4.6</x:v>
      </x:c>
      <x:c r="L41" s="13" t="n">
        <x:v>5.9</x:v>
      </x:c>
      <x:c r="M41" s="13" t="str">
        <x:v>None</x:v>
      </x:c>
      <x:c r="N41" s="13" t="str">
        <x:v>No</x:v>
      </x:c>
      <x:c r="O41" s="13" t="n">
        <x:v>0.91</x:v>
      </x:c>
      <x:c r="P41" s="13" t="str">
        <x:v>2026-08-16 22:33</x:v>
      </x:c>
      <x:c r="Q41" s="13" t="str">
        <x:v>No</x:v>
      </x:c>
    </x:row>
    <x:row r="42">
      <x:c r="A42" s="13" t="str">
        <x:v>WQ-1041</x:v>
      </x:c>
      <x:c r="B42" s="13" t="str">
        <x:v>SYN-5041</x:v>
      </x:c>
      <x:c r="C42" s="13" t="str">
        <x:v>Documentation Follow-up</x:v>
      </x:c>
      <x:c r="D42" s="13" t="str">
        <x:v>Portal</x:v>
      </x:c>
      <x:c r="E42" s="13" t="str">
        <x:v>Standard</x:v>
      </x:c>
      <x:c r="F42" s="13" t="str">
        <x:v>2026-08-17 15:45</x:v>
      </x:c>
      <x:c r="G42" s="13" t="str">
        <x:v>Clinical Support</x:v>
      </x:c>
      <x:c r="H42" s="13" t="str">
        <x:v>C. Hall</x:v>
      </x:c>
      <x:c r="I42" s="13" t="str">
        <x:v>2026-08-19 15:45</x:v>
      </x:c>
      <x:c r="J42" s="13" t="str">
        <x:v>Completed</x:v>
      </x:c>
      <x:c r="K42" s="13" t="n">
        <x:v>9.4</x:v>
      </x:c>
      <x:c r="L42" s="13" t="n">
        <x:v>4.2</x:v>
      </x:c>
      <x:c r="M42" s="13" t="str">
        <x:v>None</x:v>
      </x:c>
      <x:c r="N42" s="13" t="str">
        <x:v>No</x:v>
      </x:c>
      <x:c r="O42" s="13" t="n">
        <x:v>0.94</x:v>
      </x:c>
      <x:c r="P42" s="13" t="str">
        <x:v>2026-08-18 07:22</x:v>
      </x:c>
      <x:c r="Q42" s="13" t="str">
        <x:v>No</x:v>
      </x:c>
    </x:row>
    <x:row r="43">
      <x:c r="A43" s="13" t="str">
        <x:v>WQ-1042</x:v>
      </x:c>
      <x:c r="B43" s="13" t="str">
        <x:v>SYN-5042</x:v>
      </x:c>
      <x:c r="C43" s="13" t="str">
        <x:v>Prior Authorization</x:v>
      </x:c>
      <x:c r="D43" s="13" t="str">
        <x:v>Phone</x:v>
      </x:c>
      <x:c r="E43" s="13" t="str">
        <x:v>High</x:v>
      </x:c>
      <x:c r="F43" s="13" t="str">
        <x:v>2026-08-29 11:30</x:v>
      </x:c>
      <x:c r="G43" s="13" t="str">
        <x:v>Authorization Team</x:v>
      </x:c>
      <x:c r="H43" s="13" t="str">
        <x:v>T. Brooks</x:v>
      </x:c>
      <x:c r="I43" s="13" t="str">
        <x:v>2026-08-30 11:30</x:v>
      </x:c>
      <x:c r="J43" s="13" t="str">
        <x:v>Completed</x:v>
      </x:c>
      <x:c r="K43" s="13" t="n">
        <x:v>1.1</x:v>
      </x:c>
      <x:c r="L43" s="13" t="n">
        <x:v>5.9</x:v>
      </x:c>
      <x:c r="M43" s="13" t="str">
        <x:v>None</x:v>
      </x:c>
      <x:c r="N43" s="13" t="str">
        <x:v>No</x:v>
      </x:c>
      <x:c r="O43" s="13" t="n">
        <x:v>0.9</x:v>
      </x:c>
      <x:c r="P43" s="13" t="str">
        <x:v>2026-08-30 03:16</x:v>
      </x:c>
      <x:c r="Q43" s="13" t="str">
        <x:v>No</x:v>
      </x:c>
    </x:row>
    <x:row r="44">
      <x:c r="A44" s="13" t="str">
        <x:v>WQ-1043</x:v>
      </x:c>
      <x:c r="B44" s="13" t="str">
        <x:v>SYN-5043</x:v>
      </x:c>
      <x:c r="C44" s="13" t="str">
        <x:v>Prior Authorization</x:v>
      </x:c>
      <x:c r="D44" s="13" t="str">
        <x:v>Fax</x:v>
      </x:c>
      <x:c r="E44" s="13" t="str">
        <x:v>High</x:v>
      </x:c>
      <x:c r="F44" s="13" t="str">
        <x:v>2026-08-17 14:15</x:v>
      </x:c>
      <x:c r="G44" s="13" t="str">
        <x:v>Authorization Team</x:v>
      </x:c>
      <x:c r="H44" s="13" t="str">
        <x:v>S. Patel</x:v>
      </x:c>
      <x:c r="I44" s="13" t="str">
        <x:v>2026-08-18 14:15</x:v>
      </x:c>
      <x:c r="J44" s="13" t="str">
        <x:v>Completed</x:v>
      </x:c>
      <x:c r="K44" s="13" t="n">
        <x:v>3.8</x:v>
      </x:c>
      <x:c r="L44" s="13" t="n">
        <x:v>4.4</x:v>
      </x:c>
      <x:c r="M44" s="13" t="str">
        <x:v>None</x:v>
      </x:c>
      <x:c r="N44" s="13" t="str">
        <x:v>No</x:v>
      </x:c>
      <x:c r="O44" s="13" t="n">
        <x:v>0.92</x:v>
      </x:c>
      <x:c r="P44" s="13" t="str">
        <x:v>2026-08-18 02:45</x:v>
      </x:c>
      <x:c r="Q44" s="13" t="str">
        <x:v>No</x:v>
      </x:c>
    </x:row>
    <x:row r="45">
      <x:c r="A45" s="13" t="str">
        <x:v>WQ-1044</x:v>
      </x:c>
      <x:c r="B45" s="13" t="str">
        <x:v>SYN-5044</x:v>
      </x:c>
      <x:c r="C45" s="13" t="str">
        <x:v>Prior Authorization</x:v>
      </x:c>
      <x:c r="D45" s="13" t="str">
        <x:v>Internal Message</x:v>
      </x:c>
      <x:c r="E45" s="13" t="str">
        <x:v>High</x:v>
      </x:c>
      <x:c r="F45" s="13" t="str">
        <x:v>2026-08-27 14:15</x:v>
      </x:c>
      <x:c r="G45" s="13" t="str">
        <x:v>Authorization Team</x:v>
      </x:c>
      <x:c r="H45" s="13" t="str">
        <x:v>S. Patel</x:v>
      </x:c>
      <x:c r="I45" s="13" t="str">
        <x:v>2026-08-28 14:15</x:v>
      </x:c>
      <x:c r="J45" s="13" t="str">
        <x:v>Completed</x:v>
      </x:c>
      <x:c r="K45" s="13" t="n">
        <x:v>1.2</x:v>
      </x:c>
      <x:c r="L45" s="13" t="n">
        <x:v>4.4</x:v>
      </x:c>
      <x:c r="M45" s="13" t="str">
        <x:v>None</x:v>
      </x:c>
      <x:c r="N45" s="13" t="str">
        <x:v>No</x:v>
      </x:c>
      <x:c r="O45" s="13" t="n">
        <x:v>0.99</x:v>
      </x:c>
      <x:c r="P45" s="13" t="str">
        <x:v>2026-08-27 19:44</x:v>
      </x:c>
      <x:c r="Q45" s="13" t="str">
        <x:v>No</x:v>
      </x:c>
    </x:row>
    <x:row r="46">
      <x:c r="A46" s="13" t="str">
        <x:v>WQ-1045</x:v>
      </x:c>
      <x:c r="B46" s="13" t="str">
        <x:v>SYN-5045</x:v>
      </x:c>
      <x:c r="C46" s="13" t="str">
        <x:v>Prior Authorization</x:v>
      </x:c>
      <x:c r="D46" s="13" t="str">
        <x:v>Email</x:v>
      </x:c>
      <x:c r="E46" s="13" t="str">
        <x:v>High</x:v>
      </x:c>
      <x:c r="F46" s="13" t="str">
        <x:v>2026-08-17 10:45</x:v>
      </x:c>
      <x:c r="G46" s="13" t="str">
        <x:v>Authorization Team</x:v>
      </x:c>
      <x:c r="H46" s="13" t="str">
        <x:v>S. Patel</x:v>
      </x:c>
      <x:c r="I46" s="13" t="str">
        <x:v>2026-08-18 10:45</x:v>
      </x:c>
      <x:c r="J46" s="13" t="str">
        <x:v>Completed</x:v>
      </x:c>
      <x:c r="K46" s="13" t="n">
        <x:v>30.3</x:v>
      </x:c>
      <x:c r="L46" s="13" t="n">
        <x:v>3.3</x:v>
      </x:c>
      <x:c r="M46" s="13" t="str">
        <x:v>None</x:v>
      </x:c>
      <x:c r="N46" s="13" t="str">
        <x:v>No</x:v>
      </x:c>
      <x:c r="O46" s="13" t="n">
        <x:v>0.99</x:v>
      </x:c>
      <x:c r="P46" s="13" t="str">
        <x:v>2026-08-17 19:49</x:v>
      </x:c>
      <x:c r="Q46" s="13" t="str">
        <x:v>No</x:v>
      </x:c>
    </x:row>
    <x:row r="47">
      <x:c r="A47" s="13" t="str">
        <x:v>WQ-1046</x:v>
      </x:c>
      <x:c r="B47" s="13" t="str">
        <x:v>SYN-5046</x:v>
      </x:c>
      <x:c r="C47" s="13" t="str">
        <x:v>Medication Workflow — Administrative</x:v>
      </x:c>
      <x:c r="D47" s="13" t="str">
        <x:v>Portal</x:v>
      </x:c>
      <x:c r="E47" s="13" t="str">
        <x:v>High</x:v>
      </x:c>
      <x:c r="F47" s="13" t="str">
        <x:v>2026-08-08 15:45</x:v>
      </x:c>
      <x:c r="G47" s="13" t="str">
        <x:v>Clinical Support</x:v>
      </x:c>
      <x:c r="H47" s="13" t="str">
        <x:v>N. King</x:v>
      </x:c>
      <x:c r="I47" s="13" t="str">
        <x:v>2026-08-08 15:45</x:v>
      </x:c>
      <x:c r="J47" s="13" t="str">
        <x:v>Completed</x:v>
      </x:c>
      <x:c r="K47" s="13" t="n">
        <x:v>10.8</x:v>
      </x:c>
      <x:c r="L47" s="13" t="n">
        <x:v>3.5</x:v>
      </x:c>
      <x:c r="M47" s="13" t="str">
        <x:v>None</x:v>
      </x:c>
      <x:c r="N47" s="13" t="str">
        <x:v>No</x:v>
      </x:c>
      <x:c r="O47" s="13" t="n">
        <x:v>0.91</x:v>
      </x:c>
      <x:c r="P47" s="13" t="str">
        <x:v>2026-08-08 18:45</x:v>
      </x:c>
      <x:c r="Q47" s="13" t="str">
        <x:v>No</x:v>
      </x:c>
    </x:row>
    <x:row r="48">
      <x:c r="A48" s="13" t="str">
        <x:v>WQ-1047</x:v>
      </x:c>
      <x:c r="B48" s="13" t="str">
        <x:v>SYN-5047</x:v>
      </x:c>
      <x:c r="C48" s="13" t="str">
        <x:v>Records Request</x:v>
      </x:c>
      <x:c r="D48" s="13" t="str">
        <x:v>Phone</x:v>
      </x:c>
      <x:c r="E48" s="13" t="str">
        <x:v>Standard</x:v>
      </x:c>
      <x:c r="F48" s="13" t="str">
        <x:v>2026-08-11 15:00</x:v>
      </x:c>
      <x:c r="G48" s="13" t="str">
        <x:v>Records</x:v>
      </x:c>
      <x:c r="H48" s="13" t="str">
        <x:v>K. Lewis</x:v>
      </x:c>
      <x:c r="I48" s="13" t="str">
        <x:v>2026-08-14 15:00</x:v>
      </x:c>
      <x:c r="J48" s="13" t="str">
        <x:v>Completed</x:v>
      </x:c>
      <x:c r="K48" s="13" t="n">
        <x:v>4.8</x:v>
      </x:c>
      <x:c r="L48" s="13" t="n">
        <x:v>4</x:v>
      </x:c>
      <x:c r="M48" s="13" t="str">
        <x:v>None</x:v>
      </x:c>
      <x:c r="N48" s="13" t="str">
        <x:v>No</x:v>
      </x:c>
      <x:c r="O48" s="13" t="n">
        <x:v>0.91</x:v>
      </x:c>
      <x:c r="P48" s="13" t="str">
        <x:v>2026-08-11 23:56</x:v>
      </x:c>
      <x:c r="Q48" s="13" t="str">
        <x:v>No</x:v>
      </x:c>
    </x:row>
    <x:row r="49">
      <x:c r="A49" s="13" t="str">
        <x:v>WQ-1048</x:v>
      </x:c>
      <x:c r="B49" s="13" t="str">
        <x:v>SYN-5048</x:v>
      </x:c>
      <x:c r="C49" s="13" t="str">
        <x:v>Scheduling Follow-up</x:v>
      </x:c>
      <x:c r="D49" s="13" t="str">
        <x:v>Fax</x:v>
      </x:c>
      <x:c r="E49" s="13" t="str">
        <x:v>Standard</x:v>
      </x:c>
      <x:c r="F49" s="13" t="str">
        <x:v>2026-08-25 11:00</x:v>
      </x:c>
      <x:c r="G49" s="13" t="str">
        <x:v>Scheduling</x:v>
      </x:c>
      <x:c r="H49" s="13" t="str">
        <x:v>A. Reed</x:v>
      </x:c>
      <x:c r="I49" s="13" t="str">
        <x:v>2026-08-26 11:00</x:v>
      </x:c>
      <x:c r="J49" s="13" t="str">
        <x:v>Completed</x:v>
      </x:c>
      <x:c r="K49" s="13" t="n">
        <x:v>6.1</x:v>
      </x:c>
      <x:c r="L49" s="13" t="n">
        <x:v>4.4</x:v>
      </x:c>
      <x:c r="M49" s="13" t="str">
        <x:v>None</x:v>
      </x:c>
      <x:c r="N49" s="13" t="str">
        <x:v>No</x:v>
      </x:c>
      <x:c r="O49" s="13" t="n">
        <x:v>0.92</x:v>
      </x:c>
      <x:c r="P49" s="13" t="str">
        <x:v>2026-08-25 15:53</x:v>
      </x:c>
      <x:c r="Q49" s="13" t="str">
        <x:v>No</x:v>
      </x:c>
    </x:row>
    <x:row r="50">
      <x:c r="A50" s="13" t="str">
        <x:v>WQ-1049</x:v>
      </x:c>
      <x:c r="B50" s="13" t="str">
        <x:v>SYN-5049</x:v>
      </x:c>
      <x:c r="C50" s="13" t="str">
        <x:v>Administrative Patient Message</x:v>
      </x:c>
      <x:c r="D50" s="13" t="str">
        <x:v>Internal Message</x:v>
      </x:c>
      <x:c r="E50" s="13" t="str">
        <x:v>Standard</x:v>
      </x:c>
      <x:c r="F50" s="13" t="str">
        <x:v>2026-08-15 08:45</x:v>
      </x:c>
      <x:c r="G50" s="13" t="str">
        <x:v>Patient Support</x:v>
      </x:c>
      <x:c r="H50" s="13" t="str">
        <x:v>B. Ward</x:v>
      </x:c>
      <x:c r="I50" s="13" t="str">
        <x:v>2026-08-16 08:45</x:v>
      </x:c>
      <x:c r="J50" s="13" t="str">
        <x:v>Completed</x:v>
      </x:c>
      <x:c r="K50" s="13" t="n">
        <x:v>10.7</x:v>
      </x:c>
      <x:c r="L50" s="13" t="n">
        <x:v>6</x:v>
      </x:c>
      <x:c r="M50" s="13" t="str">
        <x:v>None</x:v>
      </x:c>
      <x:c r="N50" s="13" t="str">
        <x:v>No</x:v>
      </x:c>
      <x:c r="O50" s="13" t="n">
        <x:v>0.98</x:v>
      </x:c>
      <x:c r="P50" s="13" t="str">
        <x:v>2026-08-15 16:36</x:v>
      </x:c>
      <x:c r="Q50" s="13" t="str">
        <x:v>No</x:v>
      </x:c>
    </x:row>
    <x:row r="51">
      <x:c r="A51" s="13" t="str">
        <x:v>WQ-1050</x:v>
      </x:c>
      <x:c r="B51" s="13" t="str">
        <x:v>SYN-5050</x:v>
      </x:c>
      <x:c r="C51" s="13" t="str">
        <x:v>Records Request</x:v>
      </x:c>
      <x:c r="D51" s="13" t="str">
        <x:v>Email</x:v>
      </x:c>
      <x:c r="E51" s="13" t="str">
        <x:v>Standard</x:v>
      </x:c>
      <x:c r="F51" s="13" t="str">
        <x:v>2026-08-18 11:30</x:v>
      </x:c>
      <x:c r="G51" s="13" t="str">
        <x:v>Records</x:v>
      </x:c>
      <x:c r="H51" s="13" t="str">
        <x:v>K. Lewis</x:v>
      </x:c>
      <x:c r="I51" s="13" t="str">
        <x:v>2026-08-21 11:30</x:v>
      </x:c>
      <x:c r="J51" s="13" t="str">
        <x:v>Completed</x:v>
      </x:c>
      <x:c r="K51" s="13" t="n">
        <x:v>9.5</x:v>
      </x:c>
      <x:c r="L51" s="13" t="n">
        <x:v>2.5</x:v>
      </x:c>
      <x:c r="M51" s="13" t="str">
        <x:v>None</x:v>
      </x:c>
      <x:c r="N51" s="13" t="str">
        <x:v>No</x:v>
      </x:c>
      <x:c r="O51" s="13" t="n">
        <x:v>0.88</x:v>
      </x:c>
      <x:c r="P51" s="13" t="str">
        <x:v>2026-08-19 13:26</x:v>
      </x:c>
      <x:c r="Q51" s="13" t="str">
        <x:v>No</x:v>
      </x:c>
    </x:row>
    <x:row r="52">
      <x:c r="A52" s="13" t="str">
        <x:v>WQ-1051</x:v>
      </x:c>
      <x:c r="B52" s="13" t="str">
        <x:v>SYN-5051</x:v>
      </x:c>
      <x:c r="C52" s="13" t="str">
        <x:v>Scheduling Follow-up</x:v>
      </x:c>
      <x:c r="D52" s="13" t="str">
        <x:v>Portal</x:v>
      </x:c>
      <x:c r="E52" s="13" t="str">
        <x:v>Standard</x:v>
      </x:c>
      <x:c r="F52" s="13" t="str">
        <x:v>2026-08-29 15:15</x:v>
      </x:c>
      <x:c r="G52" s="13" t="str">
        <x:v>Scheduling</x:v>
      </x:c>
      <x:c r="H52" s="13" t="str">
        <x:v>A. Reed</x:v>
      </x:c>
      <x:c r="I52" s="13" t="str">
        <x:v>2026-08-30 15:15</x:v>
      </x:c>
      <x:c r="J52" s="13" t="str">
        <x:v>Completed</x:v>
      </x:c>
      <x:c r="K52" s="13" t="n">
        <x:v>8.5</x:v>
      </x:c>
      <x:c r="L52" s="13" t="n">
        <x:v>4.3</x:v>
      </x:c>
      <x:c r="M52" s="13" t="str">
        <x:v>None</x:v>
      </x:c>
      <x:c r="N52" s="13" t="str">
        <x:v>No</x:v>
      </x:c>
      <x:c r="O52" s="13" t="n">
        <x:v>0.94</x:v>
      </x:c>
      <x:c r="P52" s="13" t="str">
        <x:v>2026-08-29 23:15</x:v>
      </x:c>
      <x:c r="Q52" s="13" t="str">
        <x:v>No</x:v>
      </x:c>
    </x:row>
    <x:row r="53">
      <x:c r="A53" s="13" t="str">
        <x:v>WQ-1052</x:v>
      </x:c>
      <x:c r="B53" s="13" t="str">
        <x:v>SYN-5052</x:v>
      </x:c>
      <x:c r="C53" s="13" t="str">
        <x:v>Medication Workflow — Administrative</x:v>
      </x:c>
      <x:c r="D53" s="13" t="str">
        <x:v>Phone</x:v>
      </x:c>
      <x:c r="E53" s="13" t="str">
        <x:v>High</x:v>
      </x:c>
      <x:c r="F53" s="13" t="str">
        <x:v>2026-08-08 08:30</x:v>
      </x:c>
      <x:c r="G53" s="13" t="str">
        <x:v>Clinical Support</x:v>
      </x:c>
      <x:c r="H53" s="13" t="str">
        <x:v>N. King</x:v>
      </x:c>
      <x:c r="I53" s="13" t="str">
        <x:v>2026-08-08 08:30</x:v>
      </x:c>
      <x:c r="J53" s="13" t="str">
        <x:v>Completed</x:v>
      </x:c>
      <x:c r="K53" s="13" t="n">
        <x:v>5.1</x:v>
      </x:c>
      <x:c r="L53" s="13" t="n">
        <x:v>4.1</x:v>
      </x:c>
      <x:c r="M53" s="13" t="str">
        <x:v>None</x:v>
      </x:c>
      <x:c r="N53" s="13" t="str">
        <x:v>No</x:v>
      </x:c>
      <x:c r="O53" s="13" t="n">
        <x:v>0.9</x:v>
      </x:c>
      <x:c r="P53" s="13" t="str">
        <x:v>2026-08-08 11:30</x:v>
      </x:c>
      <x:c r="Q53" s="13" t="str">
        <x:v>No</x:v>
      </x:c>
    </x:row>
    <x:row r="54">
      <x:c r="A54" s="13" t="str">
        <x:v>WQ-1053</x:v>
      </x:c>
      <x:c r="B54" s="13" t="str">
        <x:v>SYN-5053</x:v>
      </x:c>
      <x:c r="C54" s="13" t="str">
        <x:v>Billing Question</x:v>
      </x:c>
      <x:c r="D54" s="13" t="str">
        <x:v>Fax</x:v>
      </x:c>
      <x:c r="E54" s="13" t="str">
        <x:v>Standard</x:v>
      </x:c>
      <x:c r="F54" s="13" t="str">
        <x:v>2026-08-27 14:30</x:v>
      </x:c>
      <x:c r="G54" s="13" t="str">
        <x:v>Billing Support</x:v>
      </x:c>
      <x:c r="H54" s="13" t="str">
        <x:v>D. Hill</x:v>
      </x:c>
      <x:c r="I54" s="13" t="str">
        <x:v>2026-08-29 14:30</x:v>
      </x:c>
      <x:c r="J54" s="13" t="str">
        <x:v>Completed</x:v>
      </x:c>
      <x:c r="K54" s="13" t="n">
        <x:v>14</x:v>
      </x:c>
      <x:c r="L54" s="13" t="n">
        <x:v>3.6</x:v>
      </x:c>
      <x:c r="M54" s="13" t="str">
        <x:v>None</x:v>
      </x:c>
      <x:c r="N54" s="13" t="str">
        <x:v>No</x:v>
      </x:c>
      <x:c r="O54" s="13" t="n">
        <x:v>0.93</x:v>
      </x:c>
      <x:c r="P54" s="13" t="str">
        <x:v>2026-08-28 09:41</x:v>
      </x:c>
      <x:c r="Q54" s="13" t="str">
        <x:v>No</x:v>
      </x:c>
    </x:row>
    <x:row r="55">
      <x:c r="A55" s="13" t="str">
        <x:v>WQ-1054</x:v>
      </x:c>
      <x:c r="B55" s="13" t="str">
        <x:v>SYN-5054</x:v>
      </x:c>
      <x:c r="C55" s="13" t="str">
        <x:v>Referral</x:v>
      </x:c>
      <x:c r="D55" s="13" t="str">
        <x:v>Internal Message</x:v>
      </x:c>
      <x:c r="E55" s="13" t="str">
        <x:v>Standard</x:v>
      </x:c>
      <x:c r="F55" s="13" t="str">
        <x:v>2026-08-27 08:15</x:v>
      </x:c>
      <x:c r="G55" s="13" t="str">
        <x:v>Referral Team</x:v>
      </x:c>
      <x:c r="H55" s="13" t="str">
        <x:v>R. Allen</x:v>
      </x:c>
      <x:c r="I55" s="13" t="str">
        <x:v>2026-08-29 08:15</x:v>
      </x:c>
      <x:c r="J55" s="13" t="str">
        <x:v>Completed</x:v>
      </x:c>
      <x:c r="K55" s="13" t="n">
        <x:v>3.7</x:v>
      </x:c>
      <x:c r="L55" s="13" t="n">
        <x:v>5.7</x:v>
      </x:c>
      <x:c r="M55" s="13" t="str">
        <x:v>None</x:v>
      </x:c>
      <x:c r="N55" s="13" t="str">
        <x:v>No</x:v>
      </x:c>
      <x:c r="O55" s="13" t="n">
        <x:v>0.88</x:v>
      </x:c>
      <x:c r="P55" s="13" t="str">
        <x:v>2026-08-27 20:40</x:v>
      </x:c>
      <x:c r="Q55" s="13" t="str">
        <x:v>No</x:v>
      </x:c>
    </x:row>
    <x:row r="56">
      <x:c r="A56" s="13" t="str">
        <x:v>WQ-1055</x:v>
      </x:c>
      <x:c r="B56" s="13" t="str">
        <x:v>SYN-5055</x:v>
      </x:c>
      <x:c r="C56" s="13" t="str">
        <x:v>Prior Authorization</x:v>
      </x:c>
      <x:c r="D56" s="13" t="str">
        <x:v>Email</x:v>
      </x:c>
      <x:c r="E56" s="13" t="str">
        <x:v>High</x:v>
      </x:c>
      <x:c r="F56" s="13" t="str">
        <x:v>2026-08-21 11:45</x:v>
      </x:c>
      <x:c r="G56" s="13" t="str">
        <x:v>Authorization Team</x:v>
      </x:c>
      <x:c r="H56" s="13" t="str">
        <x:v>T. Brooks</x:v>
      </x:c>
      <x:c r="I56" s="13" t="str">
        <x:v>2026-08-22 11:45</x:v>
      </x:c>
      <x:c r="J56" s="13" t="str">
        <x:v>Completed</x:v>
      </x:c>
      <x:c r="K56" s="13" t="n">
        <x:v>8.7</x:v>
      </x:c>
      <x:c r="L56" s="13" t="n">
        <x:v>6.1</x:v>
      </x:c>
      <x:c r="M56" s="13" t="str">
        <x:v>None</x:v>
      </x:c>
      <x:c r="N56" s="13" t="str">
        <x:v>No</x:v>
      </x:c>
      <x:c r="O56" s="13" t="n">
        <x:v>0.96</x:v>
      </x:c>
      <x:c r="P56" s="13" t="str">
        <x:v>2026-08-22 00:38</x:v>
      </x:c>
      <x:c r="Q56" s="13" t="str">
        <x:v>No</x:v>
      </x:c>
    </x:row>
    <x:row r="57">
      <x:c r="A57" s="13" t="str">
        <x:v>WQ-1056</x:v>
      </x:c>
      <x:c r="B57" s="13" t="str">
        <x:v>SYN-5056</x:v>
      </x:c>
      <x:c r="C57" s="13" t="str">
        <x:v>Scheduling Follow-up</x:v>
      </x:c>
      <x:c r="D57" s="13" t="str">
        <x:v>Portal</x:v>
      </x:c>
      <x:c r="E57" s="13" t="str">
        <x:v>Standard</x:v>
      </x:c>
      <x:c r="F57" s="13" t="str">
        <x:v>2026-08-12 09:00</x:v>
      </x:c>
      <x:c r="G57" s="13" t="str">
        <x:v>Scheduling</x:v>
      </x:c>
      <x:c r="H57" s="13" t="str">
        <x:v>A. Reed</x:v>
      </x:c>
      <x:c r="I57" s="13" t="str">
        <x:v>2026-08-13 09:00</x:v>
      </x:c>
      <x:c r="J57" s="13" t="str">
        <x:v>Completed</x:v>
      </x:c>
      <x:c r="K57" s="13" t="n">
        <x:v>5.9</x:v>
      </x:c>
      <x:c r="L57" s="13" t="n">
        <x:v>4.1</x:v>
      </x:c>
      <x:c r="M57" s="13" t="str">
        <x:v>None</x:v>
      </x:c>
      <x:c r="N57" s="13" t="str">
        <x:v>No</x:v>
      </x:c>
      <x:c r="O57" s="13" t="n">
        <x:v>0.94</x:v>
      </x:c>
      <x:c r="P57" s="13" t="str">
        <x:v>2026-08-12 21:00</x:v>
      </x:c>
      <x:c r="Q57" s="13" t="str">
        <x:v>No</x:v>
      </x:c>
    </x:row>
    <x:row r="58">
      <x:c r="A58" s="13" t="str">
        <x:v>WQ-1057</x:v>
      </x:c>
      <x:c r="B58" s="13" t="str">
        <x:v>SYN-5057</x:v>
      </x:c>
      <x:c r="C58" s="13" t="str">
        <x:v>Prior Authorization</x:v>
      </x:c>
      <x:c r="D58" s="13" t="str">
        <x:v>Phone</x:v>
      </x:c>
      <x:c r="E58" s="13" t="str">
        <x:v>High</x:v>
      </x:c>
      <x:c r="F58" s="13" t="str">
        <x:v>2026-08-21 11:00</x:v>
      </x:c>
      <x:c r="G58" s="13" t="str">
        <x:v>Authorization Team</x:v>
      </x:c>
      <x:c r="H58" s="13" t="str">
        <x:v>T. Brooks</x:v>
      </x:c>
      <x:c r="I58" s="13" t="str">
        <x:v>2026-08-22 11:00</x:v>
      </x:c>
      <x:c r="J58" s="13" t="str">
        <x:v>Completed</x:v>
      </x:c>
      <x:c r="K58" s="13" t="n">
        <x:v>11.2</x:v>
      </x:c>
      <x:c r="L58" s="13" t="n">
        <x:v>4.2</x:v>
      </x:c>
      <x:c r="M58" s="13" t="str">
        <x:v>None</x:v>
      </x:c>
      <x:c r="N58" s="13" t="str">
        <x:v>No</x:v>
      </x:c>
      <x:c r="O58" s="13" t="n">
        <x:v>0.91</x:v>
      </x:c>
      <x:c r="P58" s="13" t="str">
        <x:v>2026-08-21 20:27</x:v>
      </x:c>
      <x:c r="Q58" s="13" t="str">
        <x:v>No</x:v>
      </x:c>
    </x:row>
    <x:row r="59">
      <x:c r="A59" s="13" t="str">
        <x:v>WQ-1058</x:v>
      </x:c>
      <x:c r="B59" s="13" t="str">
        <x:v>SYN-5058</x:v>
      </x:c>
      <x:c r="C59" s="13" t="str">
        <x:v>Documentation Follow-up</x:v>
      </x:c>
      <x:c r="D59" s="13" t="str">
        <x:v>Fax</x:v>
      </x:c>
      <x:c r="E59" s="13" t="str">
        <x:v>Standard</x:v>
      </x:c>
      <x:c r="F59" s="13" t="str">
        <x:v>2026-08-05 16:30</x:v>
      </x:c>
      <x:c r="G59" s="13" t="str">
        <x:v>Clinical Support</x:v>
      </x:c>
      <x:c r="H59" s="13" t="str">
        <x:v>N. King</x:v>
      </x:c>
      <x:c r="I59" s="13" t="str">
        <x:v>2026-08-07 16:30</x:v>
      </x:c>
      <x:c r="J59" s="13" t="str">
        <x:v>Completed</x:v>
      </x:c>
      <x:c r="K59" s="13" t="n">
        <x:v>13.5</x:v>
      </x:c>
      <x:c r="L59" s="13" t="n">
        <x:v>4.4</x:v>
      </x:c>
      <x:c r="M59" s="13" t="str">
        <x:v>Human Review</x:v>
      </x:c>
      <x:c r="N59" s="13" t="str">
        <x:v>Yes</x:v>
      </x:c>
      <x:c r="O59" s="13" t="n">
        <x:v>0.73</x:v>
      </x:c>
      <x:c r="P59" s="13" t="str">
        <x:v>2026-08-06 08:28</x:v>
      </x:c>
      <x:c r="Q59" s="13" t="str">
        <x:v>No</x:v>
      </x:c>
    </x:row>
    <x:row r="60">
      <x:c r="A60" s="13" t="str">
        <x:v>WQ-1059</x:v>
      </x:c>
      <x:c r="B60" s="13" t="str">
        <x:v>SYN-5059</x:v>
      </x:c>
      <x:c r="C60" s="13" t="str">
        <x:v>Medication Workflow — Administrative</x:v>
      </x:c>
      <x:c r="D60" s="13" t="str">
        <x:v>Internal Message</x:v>
      </x:c>
      <x:c r="E60" s="13" t="str">
        <x:v>High</x:v>
      </x:c>
      <x:c r="F60" s="13" t="str">
        <x:v>2026-08-25 10:45</x:v>
      </x:c>
      <x:c r="G60" s="13" t="str">
        <x:v>Clinical Support</x:v>
      </x:c>
      <x:c r="H60" s="13" t="str">
        <x:v>N. King</x:v>
      </x:c>
      <x:c r="I60" s="13" t="str">
        <x:v>2026-08-25 10:45</x:v>
      </x:c>
      <x:c r="J60" s="13" t="str">
        <x:v>Completed</x:v>
      </x:c>
      <x:c r="K60" s="13" t="n">
        <x:v>8.8</x:v>
      </x:c>
      <x:c r="L60" s="13" t="n">
        <x:v>6</x:v>
      </x:c>
      <x:c r="M60" s="13" t="str">
        <x:v>None</x:v>
      </x:c>
      <x:c r="N60" s="13" t="str">
        <x:v>No</x:v>
      </x:c>
      <x:c r="O60" s="13" t="n">
        <x:v>0.94</x:v>
      </x:c>
      <x:c r="P60" s="13" t="str">
        <x:v>2026-08-25 13:45</x:v>
      </x:c>
      <x:c r="Q60" s="13" t="str">
        <x:v>No</x:v>
      </x:c>
    </x:row>
    <x:row r="61">
      <x:c r="A61" s="13" t="str">
        <x:v>WQ-1060</x:v>
      </x:c>
      <x:c r="B61" s="13" t="str">
        <x:v>SYN-5060</x:v>
      </x:c>
      <x:c r="C61" s="13" t="str">
        <x:v>Billing Question</x:v>
      </x:c>
      <x:c r="D61" s="13" t="str">
        <x:v>Email</x:v>
      </x:c>
      <x:c r="E61" s="13" t="str">
        <x:v>Standard</x:v>
      </x:c>
      <x:c r="F61" s="13" t="str">
        <x:v>2026-08-13 11:00</x:v>
      </x:c>
      <x:c r="G61" s="13" t="str">
        <x:v>Billing Support</x:v>
      </x:c>
      <x:c r="H61" s="13" t="str">
        <x:v>P. Young</x:v>
      </x:c>
      <x:c r="I61" s="13" t="str">
        <x:v>2026-08-15 11:00</x:v>
      </x:c>
      <x:c r="J61" s="13" t="str">
        <x:v>Completed</x:v>
      </x:c>
      <x:c r="K61" s="13" t="n">
        <x:v>8.2</x:v>
      </x:c>
      <x:c r="L61" s="13" t="n">
        <x:v>3.7</x:v>
      </x:c>
      <x:c r="M61" s="13" t="str">
        <x:v>None</x:v>
      </x:c>
      <x:c r="N61" s="13" t="str">
        <x:v>No</x:v>
      </x:c>
      <x:c r="O61" s="13" t="n">
        <x:v>0.93</x:v>
      </x:c>
      <x:c r="P61" s="13" t="str">
        <x:v>2026-08-14 03:42</x:v>
      </x:c>
      <x:c r="Q61" s="13" t="str">
        <x:v>No</x:v>
      </x:c>
    </x:row>
    <x:row r="62">
      <x:c r="A62" s="13" t="str">
        <x:v>WQ-1061</x:v>
      </x:c>
      <x:c r="B62" s="13" t="str">
        <x:v>SYN-5061</x:v>
      </x:c>
      <x:c r="C62" s="13" t="str">
        <x:v>Documentation Follow-up</x:v>
      </x:c>
      <x:c r="D62" s="13" t="str">
        <x:v>Portal</x:v>
      </x:c>
      <x:c r="E62" s="13" t="str">
        <x:v>Standard</x:v>
      </x:c>
      <x:c r="F62" s="13" t="str">
        <x:v>2026-08-03 15:30</x:v>
      </x:c>
      <x:c r="G62" s="13" t="str">
        <x:v>Clinical Support</x:v>
      </x:c>
      <x:c r="H62" s="13" t="str">
        <x:v>N. King</x:v>
      </x:c>
      <x:c r="I62" s="13" t="str">
        <x:v>2026-08-05 15:30</x:v>
      </x:c>
      <x:c r="J62" s="13" t="str">
        <x:v>Completed</x:v>
      </x:c>
      <x:c r="K62" s="13" t="n">
        <x:v>5.1</x:v>
      </x:c>
      <x:c r="L62" s="13" t="n">
        <x:v>5.6</x:v>
      </x:c>
      <x:c r="M62" s="13" t="str">
        <x:v>None</x:v>
      </x:c>
      <x:c r="N62" s="13" t="str">
        <x:v>No</x:v>
      </x:c>
      <x:c r="O62" s="13" t="n">
        <x:v>0.9</x:v>
      </x:c>
      <x:c r="P62" s="13" t="str">
        <x:v>2026-08-03 23:34</x:v>
      </x:c>
      <x:c r="Q62" s="13" t="str">
        <x:v>No</x:v>
      </x:c>
    </x:row>
    <x:row r="63">
      <x:c r="A63" s="13" t="str">
        <x:v>WQ-1062</x:v>
      </x:c>
      <x:c r="B63" s="13" t="str">
        <x:v>SYN-5062</x:v>
      </x:c>
      <x:c r="C63" s="13" t="str">
        <x:v>Referral</x:v>
      </x:c>
      <x:c r="D63" s="13" t="str">
        <x:v>Phone</x:v>
      </x:c>
      <x:c r="E63" s="13" t="str">
        <x:v>Standard</x:v>
      </x:c>
      <x:c r="F63" s="13" t="str">
        <x:v>2026-08-19 11:00</x:v>
      </x:c>
      <x:c r="G63" s="13" t="str">
        <x:v>Referral Team</x:v>
      </x:c>
      <x:c r="H63" s="13" t="str">
        <x:v>R. Allen</x:v>
      </x:c>
      <x:c r="I63" s="13" t="str">
        <x:v>2026-08-21 11:00</x:v>
      </x:c>
      <x:c r="J63" s="13" t="str">
        <x:v>Completed</x:v>
      </x:c>
      <x:c r="K63" s="13" t="n">
        <x:v>9.8</x:v>
      </x:c>
      <x:c r="L63" s="13" t="n">
        <x:v>3.4</x:v>
      </x:c>
      <x:c r="M63" s="13" t="str">
        <x:v>None</x:v>
      </x:c>
      <x:c r="N63" s="13" t="str">
        <x:v>No</x:v>
      </x:c>
      <x:c r="O63" s="13" t="n">
        <x:v>0.92</x:v>
      </x:c>
      <x:c r="P63" s="13" t="str">
        <x:v>2026-08-20 03:12</x:v>
      </x:c>
      <x:c r="Q63" s="13" t="str">
        <x:v>No</x:v>
      </x:c>
    </x:row>
    <x:row r="64">
      <x:c r="A64" s="13" t="str">
        <x:v>WQ-1063</x:v>
      </x:c>
      <x:c r="B64" s="13" t="str">
        <x:v>SYN-5063</x:v>
      </x:c>
      <x:c r="C64" s="13" t="str">
        <x:v>Medication Workflow — Administrative</x:v>
      </x:c>
      <x:c r="D64" s="13" t="str">
        <x:v>Fax</x:v>
      </x:c>
      <x:c r="E64" s="13" t="str">
        <x:v>High</x:v>
      </x:c>
      <x:c r="F64" s="13" t="str">
        <x:v>2026-08-17 08:00</x:v>
      </x:c>
      <x:c r="G64" s="13" t="str">
        <x:v>Clinical Support</x:v>
      </x:c>
      <x:c r="H64" s="13" t="str">
        <x:v>C. Hall</x:v>
      </x:c>
      <x:c r="I64" s="13" t="str">
        <x:v>2026-08-17 08:00</x:v>
      </x:c>
      <x:c r="J64" s="13" t="str">
        <x:v>Completed</x:v>
      </x:c>
      <x:c r="K64" s="13" t="n">
        <x:v>4.6</x:v>
      </x:c>
      <x:c r="L64" s="13" t="n">
        <x:v>3.5</x:v>
      </x:c>
      <x:c r="M64" s="13" t="str">
        <x:v>None</x:v>
      </x:c>
      <x:c r="N64" s="13" t="str">
        <x:v>No</x:v>
      </x:c>
      <x:c r="O64" s="13" t="n">
        <x:v>0.92</x:v>
      </x:c>
      <x:c r="P64" s="13" t="str">
        <x:v>2026-08-17 11:00</x:v>
      </x:c>
      <x:c r="Q64" s="13" t="str">
        <x:v>No</x:v>
      </x:c>
    </x:row>
    <x:row r="65">
      <x:c r="A65" s="13" t="str">
        <x:v>WQ-1064</x:v>
      </x:c>
      <x:c r="B65" s="13" t="str">
        <x:v>SYN-5064</x:v>
      </x:c>
      <x:c r="C65" s="13" t="str">
        <x:v>Administrative Patient Message</x:v>
      </x:c>
      <x:c r="D65" s="13" t="str">
        <x:v>Internal Message</x:v>
      </x:c>
      <x:c r="E65" s="13" t="str">
        <x:v>Standard</x:v>
      </x:c>
      <x:c r="F65" s="13" t="str">
        <x:v>2026-08-26 16:30</x:v>
      </x:c>
      <x:c r="G65" s="13" t="str">
        <x:v>Patient Support</x:v>
      </x:c>
      <x:c r="H65" s="13" t="str">
        <x:v>B. Ward</x:v>
      </x:c>
      <x:c r="I65" s="13" t="str">
        <x:v>2026-08-27 16:30</x:v>
      </x:c>
      <x:c r="J65" s="13" t="str">
        <x:v>Completed</x:v>
      </x:c>
      <x:c r="K65" s="13" t="n">
        <x:v>3.9</x:v>
      </x:c>
      <x:c r="L65" s="13" t="n">
        <x:v>3.9</x:v>
      </x:c>
      <x:c r="M65" s="13" t="str">
        <x:v>None</x:v>
      </x:c>
      <x:c r="N65" s="13" t="str">
        <x:v>No</x:v>
      </x:c>
      <x:c r="O65" s="13" t="n">
        <x:v>0.93</x:v>
      </x:c>
      <x:c r="P65" s="13" t="str">
        <x:v>2026-08-26 20:11</x:v>
      </x:c>
      <x:c r="Q65" s="13" t="str">
        <x:v>No</x:v>
      </x:c>
    </x:row>
    <x:row r="66">
      <x:c r="A66" s="13" t="str">
        <x:v>WQ-1065</x:v>
      </x:c>
      <x:c r="B66" s="13" t="str">
        <x:v>SYN-5065</x:v>
      </x:c>
      <x:c r="C66" s="13" t="str">
        <x:v>Records Request</x:v>
      </x:c>
      <x:c r="D66" s="13" t="str">
        <x:v>Email</x:v>
      </x:c>
      <x:c r="E66" s="13" t="str">
        <x:v>Standard</x:v>
      </x:c>
      <x:c r="F66" s="13" t="str">
        <x:v>2026-08-13 09:15</x:v>
      </x:c>
      <x:c r="G66" s="13" t="str">
        <x:v>Records</x:v>
      </x:c>
      <x:c r="H66" s="13" t="str">
        <x:v>K. Lewis</x:v>
      </x:c>
      <x:c r="I66" s="13" t="str">
        <x:v>2026-08-16 09:15</x:v>
      </x:c>
      <x:c r="J66" s="13" t="str">
        <x:v>In Progress</x:v>
      </x:c>
      <x:c r="K66" s="13" t="n">
        <x:v>10.3</x:v>
      </x:c>
      <x:c r="L66" s="13" t="n">
        <x:v>5.7</x:v>
      </x:c>
      <x:c r="M66" s="13" t="str">
        <x:v>None</x:v>
      </x:c>
      <x:c r="N66" s="13" t="str">
        <x:v>No</x:v>
      </x:c>
      <x:c r="O66" s="13" t="n">
        <x:v>0.96</x:v>
      </x:c>
      <x:c r="P66" s="13" t="str"/>
      <x:c r="Q66" s="13" t="str">
        <x:v>No</x:v>
      </x:c>
    </x:row>
    <x:row r="67">
      <x:c r="A67" s="13" t="str">
        <x:v>WQ-1066</x:v>
      </x:c>
      <x:c r="B67" s="13" t="str">
        <x:v>SYN-5066</x:v>
      </x:c>
      <x:c r="C67" s="13" t="str">
        <x:v>Billing Question</x:v>
      </x:c>
      <x:c r="D67" s="13" t="str">
        <x:v>Portal</x:v>
      </x:c>
      <x:c r="E67" s="13" t="str">
        <x:v>Standard</x:v>
      </x:c>
      <x:c r="F67" s="13" t="str">
        <x:v>2026-08-06 11:30</x:v>
      </x:c>
      <x:c r="G67" s="13" t="str">
        <x:v>Billing Support</x:v>
      </x:c>
      <x:c r="H67" s="13" t="str">
        <x:v>D. Hill</x:v>
      </x:c>
      <x:c r="I67" s="13" t="str">
        <x:v>2026-08-08 11:30</x:v>
      </x:c>
      <x:c r="J67" s="13" t="str">
        <x:v>In Progress</x:v>
      </x:c>
      <x:c r="K67" s="13" t="n">
        <x:v>10.1</x:v>
      </x:c>
      <x:c r="L67" s="13" t="n">
        <x:v>4.3</x:v>
      </x:c>
      <x:c r="M67" s="13" t="str">
        <x:v>None</x:v>
      </x:c>
      <x:c r="N67" s="13" t="str">
        <x:v>No</x:v>
      </x:c>
      <x:c r="O67" s="13" t="n">
        <x:v>0.9</x:v>
      </x:c>
      <x:c r="P67" s="13" t="str"/>
      <x:c r="Q67" s="13" t="str">
        <x:v>No</x:v>
      </x:c>
    </x:row>
    <x:row r="68">
      <x:c r="A68" s="13" t="str">
        <x:v>WQ-1067</x:v>
      </x:c>
      <x:c r="B68" s="13" t="str">
        <x:v>SYN-5067</x:v>
      </x:c>
      <x:c r="C68" s="13" t="str">
        <x:v>Scheduling Follow-up</x:v>
      </x:c>
      <x:c r="D68" s="13" t="str">
        <x:v>Phone</x:v>
      </x:c>
      <x:c r="E68" s="13" t="str">
        <x:v>Standard</x:v>
      </x:c>
      <x:c r="F68" s="13" t="str">
        <x:v>2026-08-11 08:00</x:v>
      </x:c>
      <x:c r="G68" s="13" t="str">
        <x:v>Scheduling</x:v>
      </x:c>
      <x:c r="H68" s="13" t="str">
        <x:v>J. Green</x:v>
      </x:c>
      <x:c r="I68" s="13" t="str">
        <x:v>2026-08-12 08:00</x:v>
      </x:c>
      <x:c r="J68" s="13" t="str">
        <x:v>In Progress</x:v>
      </x:c>
      <x:c r="K68" s="13" t="n">
        <x:v>9.1</x:v>
      </x:c>
      <x:c r="L68" s="13" t="n">
        <x:v>4.5</x:v>
      </x:c>
      <x:c r="M68" s="13" t="str">
        <x:v>None</x:v>
      </x:c>
      <x:c r="N68" s="13" t="str">
        <x:v>No</x:v>
      </x:c>
      <x:c r="O68" s="13" t="n">
        <x:v>0.96</x:v>
      </x:c>
      <x:c r="P68" s="13" t="str"/>
      <x:c r="Q68" s="13" t="str">
        <x:v>No</x:v>
      </x:c>
    </x:row>
    <x:row r="69">
      <x:c r="A69" s="13" t="str">
        <x:v>WQ-1068</x:v>
      </x:c>
      <x:c r="B69" s="13" t="str">
        <x:v>SYN-5068</x:v>
      </x:c>
      <x:c r="C69" s="13" t="str">
        <x:v>Referral</x:v>
      </x:c>
      <x:c r="D69" s="13" t="str">
        <x:v>Fax</x:v>
      </x:c>
      <x:c r="E69" s="13" t="str">
        <x:v>Standard</x:v>
      </x:c>
      <x:c r="F69" s="13" t="str">
        <x:v>2026-08-21 12:45</x:v>
      </x:c>
      <x:c r="G69" s="13" t="str">
        <x:v>Referral Team</x:v>
      </x:c>
      <x:c r="H69" s="13" t="str">
        <x:v>R. Allen</x:v>
      </x:c>
      <x:c r="I69" s="13" t="str">
        <x:v>2026-08-23 12:45</x:v>
      </x:c>
      <x:c r="J69" s="13" t="str">
        <x:v>In Progress</x:v>
      </x:c>
      <x:c r="K69" s="13" t="n">
        <x:v>3.9</x:v>
      </x:c>
      <x:c r="L69" s="13" t="n">
        <x:v>4</x:v>
      </x:c>
      <x:c r="M69" s="13" t="str">
        <x:v>Manual Escalation</x:v>
      </x:c>
      <x:c r="N69" s="13" t="str">
        <x:v>No</x:v>
      </x:c>
      <x:c r="O69" s="13" t="n">
        <x:v>0.92</x:v>
      </x:c>
      <x:c r="P69" s="13" t="str"/>
      <x:c r="Q69" s="13" t="str">
        <x:v>No</x:v>
      </x:c>
    </x:row>
    <x:row r="70">
      <x:c r="A70" s="13" t="str">
        <x:v>WQ-1069</x:v>
      </x:c>
      <x:c r="B70" s="13" t="str">
        <x:v>SYN-5069</x:v>
      </x:c>
      <x:c r="C70" s="13" t="str">
        <x:v>Medication Workflow — Administrative</x:v>
      </x:c>
      <x:c r="D70" s="13" t="str">
        <x:v>Internal Message</x:v>
      </x:c>
      <x:c r="E70" s="13" t="str">
        <x:v>High</x:v>
      </x:c>
      <x:c r="F70" s="13" t="str">
        <x:v>2026-08-06 09:45</x:v>
      </x:c>
      <x:c r="G70" s="13" t="str">
        <x:v>Clinical Support</x:v>
      </x:c>
      <x:c r="H70" s="13" t="str">
        <x:v>C. Hall</x:v>
      </x:c>
      <x:c r="I70" s="13" t="str">
        <x:v>2026-08-06 09:45</x:v>
      </x:c>
      <x:c r="J70" s="13" t="str">
        <x:v>In Progress</x:v>
      </x:c>
      <x:c r="K70" s="13" t="n">
        <x:v>2.5</x:v>
      </x:c>
      <x:c r="L70" s="13" t="n">
        <x:v>5.4</x:v>
      </x:c>
      <x:c r="M70" s="13" t="str">
        <x:v>None</x:v>
      </x:c>
      <x:c r="N70" s="13" t="str">
        <x:v>No</x:v>
      </x:c>
      <x:c r="O70" s="13" t="n">
        <x:v>0.94</x:v>
      </x:c>
      <x:c r="P70" s="13" t="str"/>
      <x:c r="Q70" s="13" t="str">
        <x:v>No</x:v>
      </x:c>
    </x:row>
    <x:row r="71">
      <x:c r="A71" s="13" t="str">
        <x:v>WQ-1070</x:v>
      </x:c>
      <x:c r="B71" s="13" t="str">
        <x:v>SYN-5070</x:v>
      </x:c>
      <x:c r="C71" s="13" t="str">
        <x:v>Prior Authorization</x:v>
      </x:c>
      <x:c r="D71" s="13" t="str">
        <x:v>Email</x:v>
      </x:c>
      <x:c r="E71" s="13" t="str">
        <x:v>High</x:v>
      </x:c>
      <x:c r="F71" s="13" t="str">
        <x:v>2026-08-10 09:45</x:v>
      </x:c>
      <x:c r="G71" s="13" t="str">
        <x:v>Authorization Team</x:v>
      </x:c>
      <x:c r="H71" s="13" t="str">
        <x:v>T. Brooks</x:v>
      </x:c>
      <x:c r="I71" s="13" t="str">
        <x:v>2026-08-11 09:45</x:v>
      </x:c>
      <x:c r="J71" s="13" t="str">
        <x:v>In Progress</x:v>
      </x:c>
      <x:c r="K71" s="13" t="n">
        <x:v>11</x:v>
      </x:c>
      <x:c r="L71" s="13" t="n">
        <x:v>2.2</x:v>
      </x:c>
      <x:c r="M71" s="13" t="str">
        <x:v>None</x:v>
      </x:c>
      <x:c r="N71" s="13" t="str">
        <x:v>No</x:v>
      </x:c>
      <x:c r="O71" s="13" t="n">
        <x:v>0.97</x:v>
      </x:c>
      <x:c r="P71" s="13" t="str"/>
      <x:c r="Q71" s="13" t="str">
        <x:v>No</x:v>
      </x:c>
    </x:row>
    <x:row r="72">
      <x:c r="A72" s="13" t="str">
        <x:v>WQ-1071</x:v>
      </x:c>
      <x:c r="B72" s="13" t="str">
        <x:v>SYN-5071</x:v>
      </x:c>
      <x:c r="C72" s="13" t="str">
        <x:v>Administrative Patient Message</x:v>
      </x:c>
      <x:c r="D72" s="13" t="str">
        <x:v>Portal</x:v>
      </x:c>
      <x:c r="E72" s="13" t="str">
        <x:v>Standard</x:v>
      </x:c>
      <x:c r="F72" s="13" t="str">
        <x:v>2026-08-17 15:30</x:v>
      </x:c>
      <x:c r="G72" s="13" t="str">
        <x:v>Patient Support</x:v>
      </x:c>
      <x:c r="H72" s="13" t="str">
        <x:v>B. Ward</x:v>
      </x:c>
      <x:c r="I72" s="13" t="str">
        <x:v>2026-08-18 15:30</x:v>
      </x:c>
      <x:c r="J72" s="13" t="str">
        <x:v>In Progress</x:v>
      </x:c>
      <x:c r="K72" s="13" t="n">
        <x:v>8.2</x:v>
      </x:c>
      <x:c r="L72" s="13" t="n">
        <x:v>6.9</x:v>
      </x:c>
      <x:c r="M72" s="13" t="str">
        <x:v>None</x:v>
      </x:c>
      <x:c r="N72" s="13" t="str">
        <x:v>No</x:v>
      </x:c>
      <x:c r="O72" s="13" t="n">
        <x:v>0.99</x:v>
      </x:c>
      <x:c r="P72" s="13" t="str"/>
      <x:c r="Q72" s="13" t="str">
        <x:v>Yes</x:v>
      </x:c>
    </x:row>
    <x:row r="73">
      <x:c r="A73" s="13" t="str">
        <x:v>WQ-1072</x:v>
      </x:c>
      <x:c r="B73" s="13" t="str">
        <x:v>SYN-5072</x:v>
      </x:c>
      <x:c r="C73" s="13" t="str">
        <x:v>Prior Authorization</x:v>
      </x:c>
      <x:c r="D73" s="13" t="str">
        <x:v>Phone</x:v>
      </x:c>
      <x:c r="E73" s="13" t="str">
        <x:v>High</x:v>
      </x:c>
      <x:c r="F73" s="13" t="str">
        <x:v>2026-08-27 11:15</x:v>
      </x:c>
      <x:c r="G73" s="13" t="str">
        <x:v>Authorization Team</x:v>
      </x:c>
      <x:c r="H73" s="13" t="str">
        <x:v>T. Brooks</x:v>
      </x:c>
      <x:c r="I73" s="13" t="str">
        <x:v>2026-08-28 11:15</x:v>
      </x:c>
      <x:c r="J73" s="13" t="str">
        <x:v>In Progress</x:v>
      </x:c>
      <x:c r="K73" s="13" t="n">
        <x:v>2.8</x:v>
      </x:c>
      <x:c r="L73" s="13" t="n">
        <x:v>5.4</x:v>
      </x:c>
      <x:c r="M73" s="13" t="str">
        <x:v>None</x:v>
      </x:c>
      <x:c r="N73" s="13" t="str">
        <x:v>No</x:v>
      </x:c>
      <x:c r="O73" s="13" t="n">
        <x:v>0.89</x:v>
      </x:c>
      <x:c r="P73" s="13" t="str"/>
      <x:c r="Q73" s="13" t="str">
        <x:v>No</x:v>
      </x:c>
    </x:row>
    <x:row r="74">
      <x:c r="A74" s="13" t="str">
        <x:v>WQ-1073</x:v>
      </x:c>
      <x:c r="B74" s="13" t="str">
        <x:v>SYN-5073</x:v>
      </x:c>
      <x:c r="C74" s="13" t="str">
        <x:v>Prior Authorization</x:v>
      </x:c>
      <x:c r="D74" s="13" t="str">
        <x:v>Fax</x:v>
      </x:c>
      <x:c r="E74" s="13" t="str">
        <x:v>High</x:v>
      </x:c>
      <x:c r="F74" s="13" t="str">
        <x:v>2026-08-08 08:45</x:v>
      </x:c>
      <x:c r="G74" s="13" t="str">
        <x:v>Authorization Team</x:v>
      </x:c>
      <x:c r="H74" s="13" t="str">
        <x:v>S. Patel</x:v>
      </x:c>
      <x:c r="I74" s="13" t="str">
        <x:v>2026-08-09 08:45</x:v>
      </x:c>
      <x:c r="J74" s="13" t="str">
        <x:v>In Progress</x:v>
      </x:c>
      <x:c r="K74" s="13" t="n">
        <x:v>0.9</x:v>
      </x:c>
      <x:c r="L74" s="13" t="n">
        <x:v>4.3</x:v>
      </x:c>
      <x:c r="M74" s="13" t="str">
        <x:v>None</x:v>
      </x:c>
      <x:c r="N74" s="13" t="str">
        <x:v>No</x:v>
      </x:c>
      <x:c r="O74" s="13" t="n">
        <x:v>0.95</x:v>
      </x:c>
      <x:c r="P74" s="13" t="str"/>
      <x:c r="Q74" s="13" t="str">
        <x:v>No</x:v>
      </x:c>
    </x:row>
    <x:row r="75">
      <x:c r="A75" s="13" t="str">
        <x:v>WQ-1074</x:v>
      </x:c>
      <x:c r="B75" s="13" t="str">
        <x:v>SYN-5074</x:v>
      </x:c>
      <x:c r="C75" s="13" t="str">
        <x:v>Medication Workflow — Administrative</x:v>
      </x:c>
      <x:c r="D75" s="13" t="str">
        <x:v>Internal Message</x:v>
      </x:c>
      <x:c r="E75" s="13" t="str">
        <x:v>High</x:v>
      </x:c>
      <x:c r="F75" s="13" t="str">
        <x:v>2026-08-05 11:30</x:v>
      </x:c>
      <x:c r="G75" s="13" t="str">
        <x:v>Clinical Support</x:v>
      </x:c>
      <x:c r="H75" s="13" t="str">
        <x:v>C. Hall</x:v>
      </x:c>
      <x:c r="I75" s="13" t="str">
        <x:v>2026-08-05 11:30</x:v>
      </x:c>
      <x:c r="J75" s="13" t="str">
        <x:v>Open</x:v>
      </x:c>
      <x:c r="K75" s="13" t="n">
        <x:v>6.2</x:v>
      </x:c>
      <x:c r="L75" s="13" t="n">
        <x:v>5.3</x:v>
      </x:c>
      <x:c r="M75" s="13" t="str">
        <x:v>None</x:v>
      </x:c>
      <x:c r="N75" s="13" t="str">
        <x:v>No</x:v>
      </x:c>
      <x:c r="O75" s="13" t="n">
        <x:v>0.95</x:v>
      </x:c>
      <x:c r="P75" s="13" t="str"/>
      <x:c r="Q75" s="13" t="str">
        <x:v>No</x:v>
      </x:c>
    </x:row>
    <x:row r="76">
      <x:c r="A76" s="13" t="str">
        <x:v>WQ-1075</x:v>
      </x:c>
      <x:c r="B76" s="13" t="str">
        <x:v>SYN-5075</x:v>
      </x:c>
      <x:c r="C76" s="13" t="str">
        <x:v>Records Request</x:v>
      </x:c>
      <x:c r="D76" s="13" t="str">
        <x:v>Email</x:v>
      </x:c>
      <x:c r="E76" s="13" t="str">
        <x:v>Standard</x:v>
      </x:c>
      <x:c r="F76" s="13" t="str">
        <x:v>2026-08-23 10:30</x:v>
      </x:c>
      <x:c r="G76" s="13" t="str">
        <x:v>Records</x:v>
      </x:c>
      <x:c r="H76" s="13" t="str">
        <x:v>K. Lewis</x:v>
      </x:c>
      <x:c r="I76" s="13" t="str">
        <x:v>2026-08-26 10:30</x:v>
      </x:c>
      <x:c r="J76" s="13" t="str">
        <x:v>Open</x:v>
      </x:c>
      <x:c r="K76" s="13" t="n">
        <x:v>11.2</x:v>
      </x:c>
      <x:c r="L76" s="13" t="n">
        <x:v>3</x:v>
      </x:c>
      <x:c r="M76" s="13" t="str">
        <x:v>None</x:v>
      </x:c>
      <x:c r="N76" s="13" t="str">
        <x:v>No</x:v>
      </x:c>
      <x:c r="O76" s="13" t="n">
        <x:v>0.89</x:v>
      </x:c>
      <x:c r="P76" s="13" t="str"/>
      <x:c r="Q76" s="13" t="str">
        <x:v>No</x:v>
      </x:c>
    </x:row>
    <x:row r="77">
      <x:c r="A77" s="13" t="str">
        <x:v>WQ-1076</x:v>
      </x:c>
      <x:c r="B77" s="13" t="str">
        <x:v>SYN-5076</x:v>
      </x:c>
      <x:c r="C77" s="13" t="str">
        <x:v>Billing Question</x:v>
      </x:c>
      <x:c r="D77" s="13" t="str">
        <x:v>Portal</x:v>
      </x:c>
      <x:c r="E77" s="13" t="str">
        <x:v>Standard</x:v>
      </x:c>
      <x:c r="F77" s="13" t="str">
        <x:v>2026-08-17 09:45</x:v>
      </x:c>
      <x:c r="G77" s="13" t="str">
        <x:v>Billing Support</x:v>
      </x:c>
      <x:c r="H77" s="13" t="str">
        <x:v>P. Young</x:v>
      </x:c>
      <x:c r="I77" s="13" t="str">
        <x:v>2026-08-19 09:45</x:v>
      </x:c>
      <x:c r="J77" s="13" t="str">
        <x:v>Open</x:v>
      </x:c>
      <x:c r="K77" s="13" t="n">
        <x:v>28</x:v>
      </x:c>
      <x:c r="L77" s="13" t="n">
        <x:v>3.5</x:v>
      </x:c>
      <x:c r="M77" s="13" t="str">
        <x:v>None</x:v>
      </x:c>
      <x:c r="N77" s="13" t="str">
        <x:v>No</x:v>
      </x:c>
      <x:c r="O77" s="13" t="n">
        <x:v>0.96</x:v>
      </x:c>
      <x:c r="P77" s="13" t="str"/>
      <x:c r="Q77" s="13" t="str">
        <x:v>No</x:v>
      </x:c>
    </x:row>
    <x:row r="78">
      <x:c r="A78" s="13" t="str">
        <x:v>WQ-1077</x:v>
      </x:c>
      <x:c r="B78" s="13" t="str">
        <x:v>SYN-5077</x:v>
      </x:c>
      <x:c r="C78" s="13" t="str">
        <x:v>Prior Authorization</x:v>
      </x:c>
      <x:c r="D78" s="13" t="str">
        <x:v>Phone</x:v>
      </x:c>
      <x:c r="E78" s="13" t="str">
        <x:v>High</x:v>
      </x:c>
      <x:c r="F78" s="13" t="str">
        <x:v>2026-08-22 08:45</x:v>
      </x:c>
      <x:c r="G78" s="13" t="str">
        <x:v>Authorization Team</x:v>
      </x:c>
      <x:c r="H78" s="13" t="str">
        <x:v>T. Brooks</x:v>
      </x:c>
      <x:c r="I78" s="13" t="str">
        <x:v>2026-08-23 08:45</x:v>
      </x:c>
      <x:c r="J78" s="13" t="str">
        <x:v>Open</x:v>
      </x:c>
      <x:c r="K78" s="13" t="n">
        <x:v>1.7</x:v>
      </x:c>
      <x:c r="L78" s="13" t="n">
        <x:v>6.3</x:v>
      </x:c>
      <x:c r="M78" s="13" t="str">
        <x:v>None</x:v>
      </x:c>
      <x:c r="N78" s="13" t="str">
        <x:v>No</x:v>
      </x:c>
      <x:c r="O78" s="13" t="n">
        <x:v>0.95</x:v>
      </x:c>
      <x:c r="P78" s="13" t="str"/>
      <x:c r="Q78" s="13" t="str">
        <x:v>No</x:v>
      </x:c>
    </x:row>
    <x:row r="79">
      <x:c r="A79" s="13" t="str">
        <x:v>WQ-1078</x:v>
      </x:c>
      <x:c r="B79" s="13" t="str">
        <x:v>SYN-5078</x:v>
      </x:c>
      <x:c r="C79" s="13" t="str">
        <x:v>Referral</x:v>
      </x:c>
      <x:c r="D79" s="13" t="str">
        <x:v>Fax</x:v>
      </x:c>
      <x:c r="E79" s="13" t="str">
        <x:v>Standard</x:v>
      </x:c>
      <x:c r="F79" s="13" t="str">
        <x:v>2026-08-27 12:00</x:v>
      </x:c>
      <x:c r="G79" s="13" t="str">
        <x:v>Referral Team</x:v>
      </x:c>
      <x:c r="H79" s="13" t="str">
        <x:v>M. Cole</x:v>
      </x:c>
      <x:c r="I79" s="13" t="str">
        <x:v>2026-08-29 12:00</x:v>
      </x:c>
      <x:c r="J79" s="13" t="str">
        <x:v>Open</x:v>
      </x:c>
      <x:c r="K79" s="13" t="n">
        <x:v>12.9</x:v>
      </x:c>
      <x:c r="L79" s="13" t="n">
        <x:v>4</x:v>
      </x:c>
      <x:c r="M79" s="13" t="str">
        <x:v>None</x:v>
      </x:c>
      <x:c r="N79" s="13" t="str">
        <x:v>No</x:v>
      </x:c>
      <x:c r="O79" s="13" t="n">
        <x:v>0.9</x:v>
      </x:c>
      <x:c r="P79" s="13" t="str"/>
      <x:c r="Q79" s="13" t="str">
        <x:v>No</x:v>
      </x:c>
    </x:row>
    <x:row r="80">
      <x:c r="A80" s="13" t="str">
        <x:v>WQ-1079</x:v>
      </x:c>
      <x:c r="B80" s="13" t="str">
        <x:v>SYN-5079</x:v>
      </x:c>
      <x:c r="C80" s="13" t="str">
        <x:v>Scheduling Follow-up</x:v>
      </x:c>
      <x:c r="D80" s="13" t="str">
        <x:v>Internal Message</x:v>
      </x:c>
      <x:c r="E80" s="13" t="str">
        <x:v>Standard</x:v>
      </x:c>
      <x:c r="F80" s="13" t="str">
        <x:v>2026-08-21 14:45</x:v>
      </x:c>
      <x:c r="G80" s="13" t="str">
        <x:v>Scheduling</x:v>
      </x:c>
      <x:c r="H80" s="13" t="str">
        <x:v>A. Reed</x:v>
      </x:c>
      <x:c r="I80" s="13" t="str">
        <x:v>2026-08-22 14:45</x:v>
      </x:c>
      <x:c r="J80" s="13" t="str">
        <x:v>Open</x:v>
      </x:c>
      <x:c r="K80" s="13" t="n">
        <x:v>5</x:v>
      </x:c>
      <x:c r="L80" s="13" t="n">
        <x:v>3.6</x:v>
      </x:c>
      <x:c r="M80" s="13" t="str">
        <x:v>None</x:v>
      </x:c>
      <x:c r="N80" s="13" t="str">
        <x:v>No</x:v>
      </x:c>
      <x:c r="O80" s="13" t="n">
        <x:v>0.93</x:v>
      </x:c>
      <x:c r="P80" s="13" t="str"/>
      <x:c r="Q80" s="13" t="str">
        <x:v>No</x:v>
      </x:c>
    </x:row>
    <x:row r="81">
      <x:c r="A81" s="13" t="str">
        <x:v>WQ-1080</x:v>
      </x:c>
      <x:c r="B81" s="13" t="str">
        <x:v>SYN-5080</x:v>
      </x:c>
      <x:c r="C81" s="13" t="str">
        <x:v>Documentation Follow-up</x:v>
      </x:c>
      <x:c r="D81" s="13" t="str">
        <x:v>Email</x:v>
      </x:c>
      <x:c r="E81" s="13" t="str">
        <x:v>Standard</x:v>
      </x:c>
      <x:c r="F81" s="13" t="str">
        <x:v>2026-08-16 15:30</x:v>
      </x:c>
      <x:c r="G81" s="13" t="str">
        <x:v>Clinical Support</x:v>
      </x:c>
      <x:c r="H81" s="13" t="str">
        <x:v>C. Hall</x:v>
      </x:c>
      <x:c r="I81" s="13" t="str">
        <x:v>2026-08-18 15:30</x:v>
      </x:c>
      <x:c r="J81" s="13" t="str">
        <x:v>Open</x:v>
      </x:c>
      <x:c r="K81" s="13" t="n">
        <x:v>6.6</x:v>
      </x:c>
      <x:c r="L81" s="13" t="n">
        <x:v>2.8</x:v>
      </x:c>
      <x:c r="M81" s="13" t="str">
        <x:v>None</x:v>
      </x:c>
      <x:c r="N81" s="13" t="str">
        <x:v>No</x:v>
      </x:c>
      <x:c r="O81" s="13" t="n">
        <x:v>0.92</x:v>
      </x:c>
      <x:c r="P81" s="13" t="str"/>
      <x:c r="Q81" s="13" t="str">
        <x:v>No</x:v>
      </x:c>
    </x:row>
  </x:sheetData>
  <x:conditionalFormatting sqref="Q2:Q81">
    <x:cfRule type="expression" dxfId="0" priority="1">
      <x:formula>Q2="Yes"</x:formula>
    </x:cfRule>
  </x:conditionalFormatting>
  <x:conditionalFormatting sqref="N2:N81">
    <x:cfRule type="expression" dxfId="1" priority="2">
      <x:formula>N2="Yes"</x:formula>
    </x:cfRule>
  </x:conditionalFormatting>
  <x:conditionalFormatting sqref="J2:J81">
    <x:cfRule type="expression" dxfId="2" priority="3">
      <x:formula>J2="Completed"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85925a689b49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Week</x:v>
      </x:c>
      <x:c r="B1" s="3" t="str">
        <x:v>Received</x:v>
      </x:c>
      <x:c r="C1" s="3" t="str">
        <x:v>Completed</x:v>
      </x:c>
      <x:c r="D1" s="3" t="str">
        <x:v>Ending Backlog</x:v>
      </x:c>
      <x:c r="E1" s="3" t="str">
        <x:v>Overdue %</x:v>
      </x:c>
      <x:c r="F1" s="3" t="str">
        <x:v>First Touch &lt;= 1 Day %</x:v>
      </x:c>
      <x:c r="G1" s="3" t="str">
        <x:v>Exceptions</x:v>
      </x:c>
    </x:row>
    <x:row r="2">
      <x:c r="A2" t="str">
        <x:v>Week 1</x:v>
      </x:c>
      <x:c r="B2" t="n">
        <x:v>146</x:v>
      </x:c>
      <x:c r="C2" t="n">
        <x:v>151</x:v>
      </x:c>
      <x:c r="D2" t="n">
        <x:v>42</x:v>
      </x:c>
      <x:c r="E2" s="24" t="n">
        <x:v>0.055</x:v>
      </x:c>
      <x:c r="F2" s="24" t="n">
        <x:v>0.93</x:v>
      </x:c>
      <x:c r="G2" t="n">
        <x:v>15</x:v>
      </x:c>
    </x:row>
    <x:row r="3">
      <x:c r="A3" t="str">
        <x:v>Week 2</x:v>
      </x:c>
      <x:c r="B3" t="n">
        <x:v>151</x:v>
      </x:c>
      <x:c r="C3" t="n">
        <x:v>158</x:v>
      </x:c>
      <x:c r="D3" t="n">
        <x:v>35</x:v>
      </x:c>
      <x:c r="E3" s="24" t="n">
        <x:v>0.046</x:v>
      </x:c>
      <x:c r="F3" s="24" t="n">
        <x:v>0.95</x:v>
      </x:c>
      <x:c r="G3" t="n">
        <x:v>12</x:v>
      </x:c>
    </x:row>
    <x:row r="4">
      <x:c r="A4" t="str">
        <x:v>Week 3</x:v>
      </x:c>
      <x:c r="B4" t="n">
        <x:v>149</x:v>
      </x:c>
      <x:c r="C4" t="n">
        <x:v>155</x:v>
      </x:c>
      <x:c r="D4" t="n">
        <x:v>29</x:v>
      </x:c>
      <x:c r="E4" s="24" t="n">
        <x:v>0.041</x:v>
      </x:c>
      <x:c r="F4" s="24" t="n">
        <x:v>0.97</x:v>
      </x:c>
      <x:c r="G4" t="n">
        <x:v>10</x:v>
      </x:c>
    </x:row>
    <x:row r="5">
      <x:c r="A5" t="str">
        <x:v>Week 4</x:v>
      </x:c>
      <x:c r="B5" t="n">
        <x:v>154</x:v>
      </x:c>
      <x:c r="C5" t="n">
        <x:v>155</x:v>
      </x:c>
      <x:c r="D5" t="n">
        <x:v>28</x:v>
      </x:c>
      <x:c r="E5" s="24" t="n">
        <x:v>0.038</x:v>
      </x:c>
      <x:c r="F5" s="24" t="n">
        <x:v>0.96</x:v>
      </x:c>
      <x:c r="G5" t="n">
        <x:v>8</x:v>
      </x:c>
    </x:row>
  </x:sheetData>
  <x:pageMargins left="0.7" right="0.7" top="0.75" bottom="0.75" header="0.3" footer="0.3"/>
  <x:drawing xmlns:r="http://schemas.openxmlformats.org/officeDocument/2006/relationships" r:id="Rcffbac85c3ca4b74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6" t="str">
        <x:v>Request Type</x:v>
      </x:c>
      <x:c r="B1" s="16" t="str">
        <x:v>Default Queue</x:v>
      </x:c>
      <x:c r="C1" s="16" t="str">
        <x:v>Default Priority</x:v>
      </x:c>
      <x:c r="D1" s="16" t="str">
        <x:v>Target Completion</x:v>
      </x:c>
    </x:row>
    <x:row r="2">
      <x:c r="A2" s="13" t="str">
        <x:v>Referral</x:v>
      </x:c>
      <x:c r="B2" s="13" t="str">
        <x:v>Referral Team</x:v>
      </x:c>
      <x:c r="C2" s="13" t="str">
        <x:v>Standard</x:v>
      </x:c>
      <x:c r="D2" s="13" t="str">
        <x:v>2 business days</x:v>
      </x:c>
    </x:row>
    <x:row r="3">
      <x:c r="A3" s="13" t="str">
        <x:v>Prior Authorization</x:v>
      </x:c>
      <x:c r="B3" s="13" t="str">
        <x:v>Authorization Team</x:v>
      </x:c>
      <x:c r="C3" s="13" t="str">
        <x:v>High</x:v>
      </x:c>
      <x:c r="D3" s="13" t="str">
        <x:v>1 business day</x:v>
      </x:c>
    </x:row>
    <x:row r="4">
      <x:c r="A4" s="13" t="str">
        <x:v>Scheduling Follow-up</x:v>
      </x:c>
      <x:c r="B4" s="13" t="str">
        <x:v>Scheduling</x:v>
      </x:c>
      <x:c r="C4" s="13" t="str">
        <x:v>Standard</x:v>
      </x:c>
      <x:c r="D4" s="13" t="str">
        <x:v>1 business day</x:v>
      </x:c>
    </x:row>
    <x:row r="5">
      <x:c r="A5" s="13" t="str">
        <x:v>Records Request</x:v>
      </x:c>
      <x:c r="B5" s="13" t="str">
        <x:v>Records</x:v>
      </x:c>
      <x:c r="C5" s="13" t="str">
        <x:v>Standard</x:v>
      </x:c>
      <x:c r="D5" s="13" t="str">
        <x:v>3 business days</x:v>
      </x:c>
    </x:row>
    <x:row r="6">
      <x:c r="A6" s="13" t="str">
        <x:v>Billing Question</x:v>
      </x:c>
      <x:c r="B6" s="13" t="str">
        <x:v>Billing Support</x:v>
      </x:c>
      <x:c r="C6" s="13" t="str">
        <x:v>Standard</x:v>
      </x:c>
      <x:c r="D6" s="13" t="str">
        <x:v>2 business days</x:v>
      </x:c>
    </x:row>
    <x:row r="7">
      <x:c r="A7" s="13" t="str">
        <x:v>Documentation Follow-up</x:v>
      </x:c>
      <x:c r="B7" s="13" t="str">
        <x:v>Clinical Support</x:v>
      </x:c>
      <x:c r="C7" s="13" t="str">
        <x:v>Standard</x:v>
      </x:c>
      <x:c r="D7" s="13" t="str">
        <x:v>2 business days</x:v>
      </x:c>
    </x:row>
    <x:row r="8">
      <x:c r="A8" s="13" t="str">
        <x:v>Administrative Patient Message</x:v>
      </x:c>
      <x:c r="B8" s="13" t="str">
        <x:v>Patient Support</x:v>
      </x:c>
      <x:c r="C8" s="13" t="str">
        <x:v>Standard</x:v>
      </x:c>
      <x:c r="D8" s="13" t="str">
        <x:v>1 business day</x:v>
      </x:c>
    </x:row>
    <x:row r="9">
      <x:c r="A9" s="13" t="str">
        <x:v>Medication Workflow — Administrative</x:v>
      </x:c>
      <x:c r="B9" s="13" t="str">
        <x:v>Clinical Support</x:v>
      </x:c>
      <x:c r="C9" s="13" t="str">
        <x:v>High</x:v>
      </x:c>
      <x:c r="D9" s="13" t="str">
        <x:v>0 business days</x:v>
      </x:c>
    </x:row>
  </x:sheetData>
  <x:pageMargins left="0.7" right="0.7" top="0.75" bottom="0.75" header="0.3" footer="0.3"/>
</x:worksheet>
</file>